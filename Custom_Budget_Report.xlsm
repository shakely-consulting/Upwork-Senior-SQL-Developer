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Volumes/192.168.1.2/Live/Reports/"/>
    </mc:Choice>
  </mc:AlternateContent>
  <xr:revisionPtr revIDLastSave="0" documentId="13_ncr:1_{8740C2A3-1B8A-1444-82C9-A1DB365AD223}" xr6:coauthVersionLast="47" xr6:coauthVersionMax="47" xr10:uidLastSave="{00000000-0000-0000-0000-000000000000}"/>
  <bookViews>
    <workbookView xWindow="5280" yWindow="22360" windowWidth="30240" windowHeight="18880" xr2:uid="{B923E3A8-E303-42E2-BC06-F78350962417}"/>
  </bookViews>
  <sheets>
    <sheet name="Budget" sheetId="4" r:id="rId1"/>
    <sheet name="Forecast" sheetId="2" r:id="rId2"/>
    <sheet name="Current Year Budget" sheetId="7" r:id="rId3"/>
    <sheet name="Import" sheetId="3" r:id="rId4"/>
  </sheets>
  <functionGroups builtInGroupCount="19"/>
  <definedNames>
    <definedName name="_xlnm.Print_Area" localSheetId="0">Budget!$A$1:$W$20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6" i="7" l="1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" i="7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20" i="2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20" i="4"/>
  <c r="N15" i="2" l="1"/>
  <c r="M15" i="2"/>
  <c r="L15" i="2"/>
  <c r="K15" i="2"/>
  <c r="J15" i="2"/>
  <c r="I15" i="2"/>
  <c r="H15" i="2"/>
  <c r="G15" i="2"/>
  <c r="F15" i="2"/>
  <c r="E15" i="2"/>
  <c r="D15" i="2"/>
  <c r="C15" i="2"/>
  <c r="N14" i="2"/>
  <c r="M14" i="2"/>
  <c r="L14" i="2"/>
  <c r="K14" i="2"/>
  <c r="J14" i="2"/>
  <c r="I14" i="2"/>
  <c r="H14" i="2"/>
  <c r="G14" i="2"/>
  <c r="F14" i="2"/>
  <c r="E14" i="2"/>
  <c r="D14" i="2"/>
  <c r="C14" i="2"/>
  <c r="N13" i="2"/>
  <c r="M13" i="2"/>
  <c r="L13" i="2"/>
  <c r="K13" i="2"/>
  <c r="J13" i="2"/>
  <c r="I13" i="2"/>
  <c r="H13" i="2"/>
  <c r="G13" i="2"/>
  <c r="F13" i="2"/>
  <c r="E13" i="2"/>
  <c r="D13" i="2"/>
  <c r="C13" i="2"/>
  <c r="O10" i="2"/>
  <c r="B10" i="2"/>
  <c r="O9" i="2"/>
  <c r="B9" i="2"/>
  <c r="O8" i="2"/>
  <c r="B8" i="2"/>
  <c r="G6" i="2"/>
  <c r="G5" i="2"/>
  <c r="E5" i="2"/>
  <c r="K4" i="2"/>
  <c r="I4" i="2"/>
  <c r="E4" i="2"/>
  <c r="K3" i="2"/>
  <c r="G3" i="2"/>
  <c r="X501" i="7" l="1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N15" i="4" l="1"/>
  <c r="M15" i="4"/>
  <c r="L15" i="4"/>
  <c r="K15" i="4"/>
  <c r="J15" i="4"/>
  <c r="I15" i="4"/>
  <c r="H15" i="4"/>
  <c r="G15" i="4"/>
  <c r="F15" i="4"/>
  <c r="E15" i="4"/>
  <c r="D15" i="4"/>
  <c r="C15" i="4"/>
  <c r="N14" i="4"/>
  <c r="M14" i="4"/>
  <c r="L14" i="4"/>
  <c r="K14" i="4"/>
  <c r="J14" i="4"/>
  <c r="I14" i="4"/>
  <c r="H14" i="4"/>
  <c r="G14" i="4"/>
  <c r="F14" i="4"/>
  <c r="E14" i="4"/>
  <c r="D14" i="4"/>
  <c r="C14" i="4"/>
  <c r="N13" i="4"/>
  <c r="M13" i="4"/>
  <c r="L13" i="4"/>
  <c r="K13" i="4"/>
  <c r="J13" i="4"/>
  <c r="I13" i="4"/>
  <c r="H13" i="4"/>
  <c r="G13" i="4"/>
  <c r="F13" i="4"/>
  <c r="E13" i="4"/>
  <c r="D13" i="4"/>
  <c r="C13" i="4"/>
  <c r="O10" i="4"/>
  <c r="B10" i="4"/>
  <c r="O9" i="4"/>
  <c r="B9" i="4"/>
  <c r="O8" i="4"/>
  <c r="B8" i="4"/>
  <c r="G6" i="4"/>
  <c r="G5" i="4"/>
  <c r="E5" i="4"/>
  <c r="K4" i="4"/>
  <c r="I4" i="4"/>
  <c r="E4" i="4"/>
  <c r="K3" i="4"/>
  <c r="G3" i="4"/>
</calcChain>
</file>

<file path=xl/sharedStrings.xml><?xml version="1.0" encoding="utf-8"?>
<sst xmlns="http://schemas.openxmlformats.org/spreadsheetml/2006/main" count="718" uniqueCount="285">
  <si>
    <t>Description</t>
  </si>
  <si>
    <t>Variance</t>
  </si>
  <si>
    <t>Account</t>
  </si>
  <si>
    <t>&amp;=Header.PropName</t>
  </si>
  <si>
    <t>TOTAL UNITS</t>
  </si>
  <si>
    <t>&amp;=TopGrid.TotalUnits</t>
  </si>
  <si>
    <t>Average Rent</t>
  </si>
  <si>
    <t>Leasing Bonuses</t>
  </si>
  <si>
    <t>Annual Expenses</t>
  </si>
  <si>
    <t>Total Revenue</t>
  </si>
  <si>
    <t>Avg Utility Income</t>
  </si>
  <si>
    <t>Monthly GPR</t>
  </si>
  <si>
    <t>Expense Per Unit</t>
  </si>
  <si>
    <t>Revenue per Unit</t>
  </si>
  <si>
    <t>App Fees</t>
  </si>
  <si>
    <t>Avg Occupancy</t>
  </si>
  <si>
    <t>Total SF</t>
  </si>
  <si>
    <t>&amp;=TopGrid.TotalSF</t>
  </si>
  <si>
    <t>Pet Rent</t>
  </si>
  <si>
    <t>Avg Vacancy</t>
  </si>
  <si>
    <t>&amp;=MidGrid.mmyy0</t>
  </si>
  <si>
    <t>&amp;=MidGrid.mmyy1</t>
  </si>
  <si>
    <t>&amp;=MidGrid.mmyy2</t>
  </si>
  <si>
    <t>&amp;=MidGrid.mmyy3</t>
  </si>
  <si>
    <t>&amp;=MidGrid.mmyy4</t>
  </si>
  <si>
    <t>&amp;=MidGrid.mmyy5</t>
  </si>
  <si>
    <t>&amp;=MidGrid.mmyy6</t>
  </si>
  <si>
    <t>&amp;=MidGrid.mmyy7</t>
  </si>
  <si>
    <t>&amp;=MidGrid.mmyy8</t>
  </si>
  <si>
    <t>&amp;=MidGrid.mmyy9</t>
  </si>
  <si>
    <t>&amp;=MidGrid.mmyy10</t>
  </si>
  <si>
    <t>&amp;=MidGrid.mmyy11</t>
  </si>
  <si>
    <t>&amp;=BudMO.mmyy0</t>
  </si>
  <si>
    <t>&amp;=BudMO.mmyy1</t>
  </si>
  <si>
    <t>&amp;=BudMO.mmyy2</t>
  </si>
  <si>
    <t>&amp;=BudMO.mmyy3</t>
  </si>
  <si>
    <t>&amp;=BudMO.mmyy4</t>
  </si>
  <si>
    <t>&amp;=BudMO.mmyy5</t>
  </si>
  <si>
    <t>&amp;=BudMO.mmyy6</t>
  </si>
  <si>
    <t>&amp;=BudMO.mmyy7</t>
  </si>
  <si>
    <t>&amp;=BudMO.mmyy8</t>
  </si>
  <si>
    <t>&amp;=BudMO.mmyy9</t>
  </si>
  <si>
    <t>&amp;=BudMO.mmyy10</t>
  </si>
  <si>
    <t>&amp;=BudMO.mmyy11</t>
  </si>
  <si>
    <t>TOTAL</t>
  </si>
  <si>
    <t>&amp;=Header.BudYear</t>
  </si>
  <si>
    <t>JAN</t>
  </si>
  <si>
    <t>FEB</t>
  </si>
  <si>
    <t xml:space="preserve">MARCH </t>
  </si>
  <si>
    <t>APRIL</t>
  </si>
  <si>
    <t>MAY</t>
  </si>
  <si>
    <t>JUNE</t>
  </si>
  <si>
    <t xml:space="preserve">JULY </t>
  </si>
  <si>
    <t>AUG</t>
  </si>
  <si>
    <t>SEPT</t>
  </si>
  <si>
    <t>OCT</t>
  </si>
  <si>
    <t xml:space="preserve">NOV </t>
  </si>
  <si>
    <t>DEC</t>
  </si>
  <si>
    <t>OCCUPIED UNITS</t>
  </si>
  <si>
    <t>VACANT UNITS</t>
  </si>
  <si>
    <t>OCCUPIED %</t>
  </si>
  <si>
    <t>VACANT %</t>
  </si>
  <si>
    <t>P</t>
  </si>
  <si>
    <t>Per Unit</t>
  </si>
  <si>
    <t>&amp;=Header.PYBudget</t>
  </si>
  <si>
    <t>J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</si>
  <si>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</si>
  <si>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</si>
  <si>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</si>
  <si>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</si>
  <si>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</si>
  <si>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</si>
  <si>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</si>
  <si>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</si>
  <si>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</si>
  <si>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</si>
  <si>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</si>
  <si>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</si>
  <si>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&amp;=&amp;=ROW()</t>
  </si>
  <si>
    <t>Type</t>
  </si>
  <si>
    <t>Row</t>
  </si>
  <si>
    <t>iLevel</t>
  </si>
  <si>
    <t>REF</t>
  </si>
  <si>
    <t>&amp;=&amp;="$C$"&amp;X{r}&amp;":$C$"&amp;ROW()-1</t>
  </si>
  <si>
    <t>C</t>
  </si>
  <si>
    <t>D</t>
  </si>
  <si>
    <t>E</t>
  </si>
  <si>
    <t>F</t>
  </si>
  <si>
    <t>G</t>
  </si>
  <si>
    <t>H</t>
  </si>
  <si>
    <t>I</t>
  </si>
  <si>
    <t>K</t>
  </si>
  <si>
    <t>L</t>
  </si>
  <si>
    <t>N</t>
  </si>
  <si>
    <t>M</t>
  </si>
  <si>
    <t>&amp;=&amp;="$D$"&amp;X{r}&amp;":$D$"&amp;ROW()-1</t>
  </si>
  <si>
    <t>&amp;=&amp;="$E$"&amp;X{r}&amp;":$E$"&amp;ROW()-1</t>
  </si>
  <si>
    <t>&amp;=&amp;="$F$"&amp;X{r}&amp;":$F$"&amp;ROW()-1</t>
  </si>
  <si>
    <t>&amp;=&amp;="$G$"&amp;X{r}&amp;":$G$"&amp;ROW()-1</t>
  </si>
  <si>
    <t>&amp;=&amp;="$H$"&amp;X{r}&amp;":$H$"&amp;ROW()-1</t>
  </si>
  <si>
    <t>&amp;=&amp;="$I$"&amp;X{r}&amp;":$I$"&amp;ROW()-1</t>
  </si>
  <si>
    <t>&amp;=&amp;="$J$"&amp;X{r}&amp;":$J$"&amp;ROW()-1</t>
  </si>
  <si>
    <t>&amp;=&amp;="$K$"&amp;X{r}&amp;":$K$"&amp;ROW()-1</t>
  </si>
  <si>
    <t>&amp;=&amp;="$L$"&amp;X{r}&amp;":$L$"&amp;ROW()-1</t>
  </si>
  <si>
    <t>&amp;=&amp;="$M$"&amp;X{r}&amp;":$M$"&amp;ROW()-1</t>
  </si>
  <si>
    <t>&amp;=&amp;="$N$"&amp;X{r}&amp;":$N$"&amp;ROW()-1</t>
  </si>
  <si>
    <t>&amp;=&amp;=IF($T{r}="H","",IF($T{r}="T",SUMIF(INDIRECT($AW{r}),"R",INDIRECT($AV{r})),AJ{r}))</t>
  </si>
  <si>
    <t>FOR SUMIF</t>
  </si>
  <si>
    <t>&amp;=&amp;="$T$"&amp;X{r}&amp;":$T$"&amp;ROW()-1</t>
  </si>
  <si>
    <t>&amp;=&amp;=IF($T{r}="H","",IF($T{r}="T",SUMIF(INDIRECT($AW{r}),"R",INDIRECT($AK{r})),Y{r}))</t>
  </si>
  <si>
    <t>&amp;=&amp;=IF($T{r}="H","",IF($T{r}="T",SUMIF(INDIRECT($AW{r}),"R",INDIRECT($AL{r})),Z{r}))</t>
  </si>
  <si>
    <t>&amp;=&amp;=IF($T{r}="H","",IF($T{r}="T",SUMIF(INDIRECT($AW{r}),"R",INDIRECT($AM{r})),AA{r}))</t>
  </si>
  <si>
    <t>&amp;=&amp;=IF($T{r}="H","",IF($T{r}="T",SUMIF(INDIRECT($AW{r}),"R",INDIRECT($AN{r})),AB{r}))</t>
  </si>
  <si>
    <t>&amp;=&amp;=IF($T{r}="H","",IF($T{r}="T",SUMIF(INDIRECT($AW{r}),"R",INDIRECT($AO{r})),AC{r}))</t>
  </si>
  <si>
    <t>&amp;=&amp;=IF($T{r}="H","",IF($T{r}="T",SUMIF(INDIRECT($AW{r}),"R",INDIRECT($AP{r})),AD{r}))</t>
  </si>
  <si>
    <t>&amp;=&amp;=IF($T{r}="H","",IF($T{r}="T",SUMIF(INDIRECT($AW{r}),"R",INDIRECT($AQ{r})),AE{r}))</t>
  </si>
  <si>
    <t>&amp;=&amp;=IF($T{r}="H","",IF($T{r}="T",SUMIF(INDIRECT($AW{r}),"R",INDIRECT($AR{r})),AF{r}))</t>
  </si>
  <si>
    <t>&amp;=&amp;=IF($T{r}="H","",IF($T{r}="T",SUMIF(INDIRECT($AW{r}),"R",INDIRECT($AS{r})),AG{r}))</t>
  </si>
  <si>
    <t>&amp;=&amp;=IF($T{r}="H","",IF($T{r}="T",SUMIF(INDIRECT($AW{r}),"R",INDIRECT($AT{r})),AH{r}))</t>
  </si>
  <si>
    <t>&amp;=&amp;=IF($T{r}="H","",IF($T{r}="T",SUMIF(INDIRECT($AW{r}),"R",INDIRECT($AU{r})),AI{r}))</t>
  </si>
  <si>
    <t>&amp;=Header.CurrentYear</t>
  </si>
  <si>
    <t>&amp;=Report2.Jan</t>
  </si>
  <si>
    <t>&amp;=Report2.Feb</t>
  </si>
  <si>
    <t>&amp;=Report2.Mar</t>
  </si>
  <si>
    <t>&amp;=Report2.Apr</t>
  </si>
  <si>
    <t>&amp;=Report2.May</t>
  </si>
  <si>
    <t>&amp;=Report2.Jun</t>
  </si>
  <si>
    <t>&amp;=Report2.Jul</t>
  </si>
  <si>
    <t>&amp;=Report2.Aug</t>
  </si>
  <si>
    <t>&amp;=Report2.Sep</t>
  </si>
  <si>
    <t>&amp;=Report2.Oct</t>
  </si>
  <si>
    <t>&amp;=Report2.Nov</t>
  </si>
  <si>
    <t>&amp;=Report2.Dec</t>
  </si>
  <si>
    <t>&amp;=Report2.iNormalBalance</t>
  </si>
  <si>
    <t>&amp;=CYMO.mmyy0</t>
  </si>
  <si>
    <t>&amp;=CYMO.mmyy1</t>
  </si>
  <si>
    <t>&amp;=CYMO.mmyy2</t>
  </si>
  <si>
    <t>&amp;=CYMO.mmyy3</t>
  </si>
  <si>
    <t>&amp;=CYMO.mmyy4</t>
  </si>
  <si>
    <t>&amp;=CYMO.mmyy5</t>
  </si>
  <si>
    <t>&amp;=CYMO.mmyy6</t>
  </si>
  <si>
    <t>&amp;=CYMO.mmyy7</t>
  </si>
  <si>
    <t>&amp;=CYMO.mmyy8</t>
  </si>
  <si>
    <t>&amp;=CYMO.mmyy9</t>
  </si>
  <si>
    <t>&amp;=CYMO.mmyy10</t>
  </si>
  <si>
    <t>&amp;=CYMO.mmyy11</t>
  </si>
  <si>
    <t>&amp;=&amp;=IF(T{r}="H","",SUM(C{r}:N{r}))</t>
  </si>
  <si>
    <t>&amp;=&amp;=IF(T{r}="H","",IFERROR(IF(T{r}="H","",O{r}/$E3),""))</t>
  </si>
  <si>
    <t>&amp;=Import.PropCode</t>
  </si>
  <si>
    <t>&amp;=Import.AcctCode</t>
  </si>
  <si>
    <t>Comments</t>
  </si>
  <si>
    <t>&amp;=&amp;=SUMIF($BL$20:$BL$999,1,$O$20:$O$999)/$E$3</t>
  </si>
  <si>
    <t>&amp;=&amp;=--OR(--ISNUMBER(SEARCH("Water and Sewer Reimb.",B{r})),--ISNUMBER(SEARCH("Broadband Service Income",B{r})),--ISNUMBER(SEARCH("Utility Reimbursement",B{r})),--ISNUMBER(SEARCH("Shared Water Reimbursement",B{r})))</t>
  </si>
  <si>
    <t>&amp;=Report2.JanAct</t>
  </si>
  <si>
    <t>&amp;=Report2.FebAct</t>
  </si>
  <si>
    <t>&amp;=Report2.MarAct</t>
  </si>
  <si>
    <t>&amp;=Report2.AprAct</t>
  </si>
  <si>
    <t>&amp;=Report2.MayAct</t>
  </si>
  <si>
    <t>&amp;=Report2.JunAct</t>
  </si>
  <si>
    <t>&amp;=Report2.JulAct</t>
  </si>
  <si>
    <t>&amp;=Report2.AugAct</t>
  </si>
  <si>
    <t>&amp;=Report2.SepAct</t>
  </si>
  <si>
    <t>&amp;=Report2.OctAct</t>
  </si>
  <si>
    <t>&amp;=Report2.NovAct</t>
  </si>
  <si>
    <t>&amp;=Report2.DecAct</t>
  </si>
  <si>
    <t>Act</t>
  </si>
  <si>
    <t>&amp;=Report2.MonthNum</t>
  </si>
  <si>
    <t>Budget</t>
  </si>
  <si>
    <t>&amp;=Header.First</t>
  </si>
  <si>
    <t>&amp;=Header.Second</t>
  </si>
  <si>
    <t>&amp;=Header.third</t>
  </si>
  <si>
    <t>&amp;=Header.fourth</t>
  </si>
  <si>
    <t>&amp;=Header.fifth</t>
  </si>
  <si>
    <t>&amp;=Header.sixth</t>
  </si>
  <si>
    <t>&amp;=Header.seventh</t>
  </si>
  <si>
    <t>&amp;=Header.eighth</t>
  </si>
  <si>
    <t>&amp;=Header.ninth</t>
  </si>
  <si>
    <t>&amp;=Header.tenth</t>
  </si>
  <si>
    <t>&amp;=Header.eleventh</t>
  </si>
  <si>
    <t>&amp;=Header.twelth</t>
  </si>
  <si>
    <t>&amp;=&amp;=--ISNUMBER(SEARCH("*Management Fee*",B{r}))</t>
  </si>
  <si>
    <t>Management Fee</t>
  </si>
  <si>
    <t>&amp;=&amp;=IF(CK{r}&gt;=1,BY{r},BM{r})</t>
  </si>
  <si>
    <t>&amp;=&amp;=IF(CK{r}&gt;=2,BZ{r},BN{r})</t>
  </si>
  <si>
    <t>&amp;=&amp;=IF(CK{r}&gt;=3,CA{r},BO{r})</t>
  </si>
  <si>
    <t>&amp;=&amp;=IF(CK{r}&gt;=4,CB{r},BP{r})</t>
  </si>
  <si>
    <t>&amp;=&amp;=IF(CK{r}&gt;=5,CC{r},BQ{r})</t>
  </si>
  <si>
    <t>&amp;=&amp;=IF(CK{r}&gt;=6,CD{r},BR{r})</t>
  </si>
  <si>
    <t>&amp;=&amp;=IF(CK{r}&gt;=7,CE{r},BS{r})</t>
  </si>
  <si>
    <t>&amp;=&amp;=IF(CK{r}&gt;=8,CF{r},BT{r})</t>
  </si>
  <si>
    <t>&amp;=&amp;=IF(CK{r}&gt;=9,CG{r},BU{r})</t>
  </si>
  <si>
    <t>&amp;=&amp;=IF(CK{r}&gt;=10,CH{r},BV{r})</t>
  </si>
  <si>
    <t>&amp;=&amp;=IF(CK{r}&gt;=11,CI{r},BW{r})</t>
  </si>
  <si>
    <t>&amp;=&amp;=IF(CK{r}&gt;=12,CJ{r},BX{r})</t>
  </si>
  <si>
    <t>&amp;=Report2.stype</t>
  </si>
  <si>
    <t>&amp;=Report2.iNest</t>
  </si>
  <si>
    <t>&amp;=Report2.sDesc</t>
  </si>
  <si>
    <t>&amp;=Report2.sCode</t>
  </si>
  <si>
    <t>&amp;=&amp;="$CN$"&amp;X{r}&amp;":$CN$"&amp;ROW()-1</t>
  </si>
  <si>
    <t>&amp;=&amp;=0</t>
  </si>
  <si>
    <t>&amp;=PrevBud.sCode</t>
  </si>
  <si>
    <t>&amp;=PrevBud.sDesc</t>
  </si>
  <si>
    <t>&amp;=PrevBud.stype</t>
  </si>
  <si>
    <t>&amp;=PrevBud.iNest</t>
  </si>
  <si>
    <t>&amp;=PrevBud.Jan</t>
  </si>
  <si>
    <t>&amp;=PrevBud.Feb</t>
  </si>
  <si>
    <t>&amp;=PrevBud.Mar</t>
  </si>
  <si>
    <t>&amp;=PrevBud.Apr</t>
  </si>
  <si>
    <t>&amp;=PrevBud.May</t>
  </si>
  <si>
    <t>&amp;=PrevBud.Jun</t>
  </si>
  <si>
    <t>&amp;=PrevBud.Jul</t>
  </si>
  <si>
    <t>&amp;=PrevBud.Aug</t>
  </si>
  <si>
    <t>&amp;=PrevBud.Sep</t>
  </si>
  <si>
    <t>&amp;=PrevBud.Oct</t>
  </si>
  <si>
    <t>&amp;=PrevBud.Nov</t>
  </si>
  <si>
    <t>&amp;=PrevBud.Dec</t>
  </si>
  <si>
    <t>&amp;=PrevBud.JanAct</t>
  </si>
  <si>
    <t>&amp;=PrevBud.FebAct</t>
  </si>
  <si>
    <t>&amp;=PrevBud.MarAct</t>
  </si>
  <si>
    <t>&amp;=PrevBud.AprAct</t>
  </si>
  <si>
    <t>&amp;=PrevBud.MayAct</t>
  </si>
  <si>
    <t>&amp;=PrevBud.JunAct</t>
  </si>
  <si>
    <t>&amp;=PrevBud.JulAct</t>
  </si>
  <si>
    <t>&amp;=PrevBud.AugAct</t>
  </si>
  <si>
    <t>&amp;=PrevBud.SepAct</t>
  </si>
  <si>
    <t>&amp;=PrevBud.OctAct</t>
  </si>
  <si>
    <t>&amp;=PrevBud.NovAct</t>
  </si>
  <si>
    <t>&amp;=PrevBud.DecAct</t>
  </si>
  <si>
    <t>&amp;=PrevBud.DebitCredit</t>
  </si>
  <si>
    <t>&amp;=&amp;=IF($T{r}="H","",Y{r})</t>
  </si>
  <si>
    <t>&amp;=&amp;=IF($T{r}="H","",Z{r})</t>
  </si>
  <si>
    <t>&amp;=&amp;=IF($T{r}="H","",AA{r})</t>
  </si>
  <si>
    <t>&amp;=&amp;=IF($T{r}="H","",AB{r})</t>
  </si>
  <si>
    <t>&amp;=&amp;=IF($T{r}="H","",AC{r})</t>
  </si>
  <si>
    <t>&amp;=&amp;=IF($T{r}="H","",AD{r})</t>
  </si>
  <si>
    <t>&amp;=&amp;=IF($T{r}="H","",AE{r})</t>
  </si>
  <si>
    <t>&amp;=&amp;=IF($T{r}="H","",AF{r})</t>
  </si>
  <si>
    <t>&amp;=&amp;=IF($T{r}="H","",AG{r})</t>
  </si>
  <si>
    <t>&amp;=&amp;=IF($T{r}="H","",AH{r})</t>
  </si>
  <si>
    <t>&amp;=&amp;=IF($T{r}="H","",AI{r})</t>
  </si>
  <si>
    <t>&amp;=&amp;=IF($T{r}="H","",AJ{r})</t>
  </si>
  <si>
    <t>&amp;=&amp;=IF(T{r}="H","",IFERROR(IF(T{r}="H","",O{r}/Budget!$E3),""))</t>
  </si>
  <si>
    <t>&amp;=Header.CurYearBudget</t>
  </si>
  <si>
    <t>&amp;=Header.CurYearForecast</t>
  </si>
  <si>
    <t>&amp;=Header.Variance2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</si>
  <si>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</si>
  <si>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</si>
  <si>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</si>
  <si>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</si>
  <si>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</si>
  <si>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</si>
  <si>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</si>
  <si>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</si>
  <si>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</si>
  <si>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BI</t>
  </si>
  <si>
    <t>BJ</t>
  </si>
  <si>
    <t>&amp;=&amp;=IF($T{r}="H","",IF(T{r}="R",Y{r},IF(AND($T{r}="T",CN{r}=-1),(SUMIFS(INDIRECT($AK{r}),INDIRECT($AW{r}),"R",INDIRECT($CO{r}),-1)+(-SUMIFS(INDIRECT($AK{r}),INDIRECT($AW{r}),"R",INDIRECT($CO{r}),1))),IF(AND(T{r}="T",CN{r}=1),-(SUMIFS(INDIRECT($AK{r}),INDIRECT($AW{r}),"R",INDIRECT($CO{r}),-1)+(-SUMIFS(INDIRECT($AK{r}),INDIRECT($AW{r}),"R",INDIRECT($CO{r}),1))),IF(AND(T{r}="T",CN{r}=0),(SUMIFS(INDIRECT($AK{r}),INDIRECT($AW{r}),"R",INDIRECT($CO{r}),-1)+(-SUMIFS(INDIRECT($AK{r}),INDIRECT($AW{r}),"R",INDIRECT($CO{r}),1))),IF(CN{r}=-1,-Y{r},IF(CN{r}=1,Y{r},-Y{r})))))))</t>
  </si>
  <si>
    <t>&amp;=&amp;=IF($T{r}="H","",IF(T{r}="R",Z{r},IF(AND($T{r}="T",CN{r}=-1),(SUMIFS(INDIRECT($AL{r}),INDIRECT($AW{r}),"R",INDIRECT($CO{r}),-1)+(-SUMIFS(INDIRECT($AL{r}),INDIRECT($AW{r}),"R",INDIRECT($CO{r}),1))),IF(AND(T{r}="T",CN{r}=1),-(SUMIFS(INDIRECT($AL{r}),INDIRECT($AW{r}),"R",INDIRECT($CO{r}),-1)+(-SUMIFS(INDIRECT($AL{r}),INDIRECT($AW{r}),"R",INDIRECT($CO{r}),1))),IF(AND(T{r}="T",CN{r}=0),(SUMIFS(INDIRECT($AL{r}),INDIRECT($AW{r}),"R",INDIRECT($CO{r}),-1)+(-SUMIFS(INDIRECT($AL{r}),INDIRECT($AW{r}),"R",INDIRECT($CO{r}),1))),IF(CN{r}=-1,-Z{r},IF(CN{r}=1,Z{r},-Z{r})))))))</t>
  </si>
  <si>
    <t>&amp;=&amp;=IF($T{r}="H","",IF(T{r}="R",AA{r},IF(AND($T{r}="T",CN{r}=-1),(SUMIFS(INDIRECT($AM{r}),INDIRECT($AW{r}),"R",INDIRECT($CO{r}),-1)+(-SUMIFS(INDIRECT($AM{r}),INDIRECT($AW{r}),"R",INDIRECT($CO{r}),1))),IF(AND(T{r}="T",CN{r}=1),-(SUMIFS(INDIRECT($AM{r}),INDIRECT($AW{r}),"R",INDIRECT($CO{r}),-1)+(-SUMIFS(INDIRECT($AM{r}),INDIRECT($AW{r}),"R",INDIRECT($CO{r}),1))),IF(AND(T{r}="T",CN{r}=0),(SUMIFS(INDIRECT($AM{r}),INDIRECT($AW{r}),"R",INDIRECT($CO{r}),-1)+(-SUMIFS(INDIRECT($AM{r}),INDIRECT($AW{r}),"R",INDIRECT($CO{r}),1))),IF(CN{r}=-1,-AA{r},IF(CN{r}=1,AA{r},-AA{r})))))))</t>
  </si>
  <si>
    <t>&amp;=&amp;=IF($T{r}="H","",IF(T{r}="R",AB{r},IF(AND($T{r}="T",CN{r}=-1),(SUMIFS(INDIRECT($AN{r}),INDIRECT($AW{r}),"R",INDIRECT($CO{r}),-1)+(-SUMIFS(INDIRECT($AN{r}),INDIRECT($AW{r}),"R",INDIRECT($CO{r}),1))),IF(AND(T{r}="T",CN{r}=1),-(SUMIFS(INDIRECT($AN{r}),INDIRECT($AW{r}),"R",INDIRECT($CO{r}),-1)+(-SUMIFS(INDIRECT($AN{r}),INDIRECT($AW{r}),"R",INDIRECT($CO{r}),1))),IF(AND(T{r}="T",CN{r}=0),(SUMIFS(INDIRECT($AN{r}),INDIRECT($AW{r}),"R",INDIRECT($CO{r}),-1)+(-SUMIFS(INDIRECT($AN{r}),INDIRECT($AW{r}),"R",INDIRECT($CO{r}),1))),IF(CN{r}=-1,-AB{r},IF(CN{r}=1,AB{r},-AB{r})))))))</t>
  </si>
  <si>
    <t>&amp;=&amp;=IF($T{r}="H","",IF(T{r}="R",AC{r},IF(AND($T{r}="T",CN{r}=-1),(SUMIFS(INDIRECT($AO{r}),INDIRECT($AW{r}),"R",INDIRECT($CO{r}),-1)+(-SUMIFS(INDIRECT($AO{r}),INDIRECT($AW{r}),"R",INDIRECT($CO{r}),1))),IF(AND(T{r}="T",CN{r}=1),-(SUMIFS(INDIRECT($AO{r}),INDIRECT($AW{r}),"R",INDIRECT($CO{r}),-1)+(-SUMIFS(INDIRECT($AO{r}),INDIRECT($AW{r}),"R",INDIRECT($CO{r}),1))),IF(AND(T{r}="T",CN{r}=0),(SUMIFS(INDIRECT($AO{r}),INDIRECT($AW{r}),"R",INDIRECT($CO{r}),-1)+(-SUMIFS(INDIRECT($AO{r}),INDIRECT($AW{r}),"R",INDIRECT($CO{r}),1))),IF(CN{r}=-1,-AC{r},IF(CN{r}=1,AC{r},-AC{r})))))))</t>
  </si>
  <si>
    <t>&amp;=&amp;=IF($T{r}="H","",IF(T{r}="R",AD{r},IF(AND($T{r}="T",CN{r}=-1),(SUMIFS(INDIRECT($AP{r}),INDIRECT($AW{r}),"R",INDIRECT($CO{r}),-1)+(-SUMIFS(INDIRECT($AP{r}),INDIRECT($AW{r}),"R",INDIRECT($CO{r}),1))),IF(AND(T{r}="T",CN{r}=1),-(SUMIFS(INDIRECT($AP{r}),INDIRECT($AW{r}),"R",INDIRECT($CO{r}),-1)+(-SUMIFS(INDIRECT($AP{r}),INDIRECT($AW{r}),"R",INDIRECT($CO{r}),1))),IF(AND(T{r}="T",CN{r}=0),(SUMIFS(INDIRECT($AP{r}),INDIRECT($AW{r}),"R",INDIRECT($CO{r}),-1)+(-SUMIFS(INDIRECT($AP{r}),INDIRECT($AW{r}),"R",INDIRECT($CO{r}),1))),IF(CN{r}=-1,-AD{r},IF(CN{r}=1,AD{r},-AD{r})))))))</t>
  </si>
  <si>
    <t>&amp;=&amp;=IF($T{r}="H","",IF(T{r}="R",AE{r},IF(AND($T{r}="T",CN{r}=-1),(SUMIFS(INDIRECT($AQ{r}),INDIRECT($AW{r}),"R",INDIRECT($CO{r}),-1)+(-SUMIFS(INDIRECT($AQ{r}),INDIRECT($AW{r}),"R",INDIRECT($CO{r}),1))),IF(AND(T{r}="T",CN{r}=1),-(SUMIFS(INDIRECT($AQ{r}),INDIRECT($AW{r}),"R",INDIRECT($CO{r}),-1)+(-SUMIFS(INDIRECT($AQ{r}),INDIRECT($AW{r}),"R",INDIRECT($CO{r}),1))),IF(AND(T{r}="T",CN{r}=0),(SUMIFS(INDIRECT($AQ{r}),INDIRECT($AW{r}),"R",INDIRECT($CO{r}),-1)+(-SUMIFS(INDIRECT($AQ{r}),INDIRECT($AW{r}),"R",INDIRECT($CO{r}),1))),IF(CN{r}=-1,-AE{r},IF(CN{r}=1,AE{r},-AE{r})))))))</t>
  </si>
  <si>
    <t>&amp;=&amp;=IF($T{r}="H","",IF(T{r}="R",AF{r},IF(AND($T{r}="T",CN{r}=-1),(SUMIFS(INDIRECT($AR{r}),INDIRECT($AW{r}),"R",INDIRECT($CO{r}),-1)+(-SUMIFS(INDIRECT($AR{r}),INDIRECT($AW{r}),"R",INDIRECT($CO{r}),1))),IF(AND(T{r}="T",CN{r}=1),-(SUMIFS(INDIRECT($AR{r}),INDIRECT($AW{r}),"R",INDIRECT($CO{r}),-1)+(-SUMIFS(INDIRECT($AR{r}),INDIRECT($AW{r}),"R",INDIRECT($CO{r}),1))),IF(AND(T{r}="T",CN{r}=0),(SUMIFS(INDIRECT($AR{r}),INDIRECT($AW{r}),"R",INDIRECT($CO{r}),-1)+(-SUMIFS(INDIRECT($AR{r}),INDIRECT($AW{r}),"R",INDIRECT($CO{r}),1))),IF(CN{r}=-1,-AF{r},IF(CN{r}=1,AF{r},-AF{r})))))))</t>
  </si>
  <si>
    <t>&amp;=&amp;=IF($T{r}="H","",IF(T{r}="R",AG{r},IF(AND($T{r}="T",CN{r}=-1),(SUMIFS(INDIRECT($AS{r}),INDIRECT($AW{r}),"R",INDIRECT($CO{r}),-1)+(-SUMIFS(INDIRECT($AS{r}),INDIRECT($AW{r}),"R",INDIRECT($CO{r}),1))),IF(AND(T{r}="T",CN{r}=1),-(SUMIFS(INDIRECT($AS{r}),INDIRECT($AW{r}),"R",INDIRECT($CO{r}),-1)+(-SUMIFS(INDIRECT($AS{r}),INDIRECT($AW{r}),"R",INDIRECT($CO{r}),1))),IF(AND(T{r}="T",CN{r}=0),(SUMIFS(INDIRECT($AS{r}),INDIRECT($AW{r}),"R",INDIRECT($CO{r}),-1)+(-SUMIFS(INDIRECT($AS{r}),INDIRECT($AW{r}),"R",INDIRECT($CO{r}),1))),IF(CN{r}=-1,-AG{r},IF(CN{r}=1,AG{r},-AG{r})))))))</t>
  </si>
  <si>
    <t>&amp;=&amp;=IF($T{r}="H","",IF(T{r}="R",AH{r},IF(AND($T{r}="T",CN{r}=-1),(SUMIFS(INDIRECT($AT{r}),INDIRECT($AW{r}),"R",INDIRECT($CO{r}),-1)+(-SUMIFS(INDIRECT($AT{r}),INDIRECT($AW{r}),"R",INDIRECT($CO{r}),1))),IF(AND(T{r}="T",CN{r}=1),-(SUMIFS(INDIRECT($AT{r}),INDIRECT($AW{r}),"R",INDIRECT($CO{r}),-1)+(-SUMIFS(INDIRECT($AT{r}),INDIRECT($AW{r}),"R",INDIRECT($CO{r}),1))),IF(AND(T{r}="T",CN{r}=0),(SUMIFS(INDIRECT($AT{r}),INDIRECT($AW{r}),"R",INDIRECT($CO{r}),-1)+(-SUMIFS(INDIRECT($AT{r}),INDIRECT($AW{r}),"R",INDIRECT($CO{r}),1))),IF(CN{r}=-1,-AH{r},IF(CN{r}=1,AH{r},-AH{r})))))))</t>
  </si>
  <si>
    <t>&amp;=&amp;=IF($T{r}="H","",IF(T{r}="R",AI{r},IF(AND($T{r}="T",CN{r}=-1),(SUMIFS(INDIRECT($AU{r}),INDIRECT($AW{r}),"R",INDIRECT($CO{r}),-1)+(-SUMIFS(INDIRECT($AU{r}),INDIRECT($AW{r}),"R",INDIRECT($CO{r}),1))),IF(AND(T{r}="T",CN{r}=1),-(SUMIFS(INDIRECT($AU{r}),INDIRECT($AW{r}),"R",INDIRECT($CO{r}),-1)+(-SUMIFS(INDIRECT($AU{r}),INDIRECT($AW{r}),"R",INDIRECT($CO{r}),1))),IF(AND(T{r}="T",CN{r}=0),(SUMIFS(INDIRECT($AU{r}),INDIRECT($AW{r}),"R",INDIRECT($CO{r}),-1)+(-SUMIFS(INDIRECT($AU{r}),INDIRECT($AW{r}),"R",INDIRECT($CO{r}),1))),IF(CN{r}=-1,-AI{r},IF(CN{r}=1,AI{r},-AI{r})))))))</t>
  </si>
  <si>
    <t>&amp;=&amp;=IF($T{r}="H","",IF(T{r}="R",AJ{r},IF(AND($T{r}="T",CN{r}=-1),(SUMIFS(INDIRECT($AV{r}),INDIRECT($AW{r}),"R",INDIRECT($CO{r}),-1)+(-SUMIFS(INDIRECT($AV{r}),INDIRECT($AW{r}),"R",INDIRECT($CO{r}),1))),IF(AND(T{r}="T",CN{r}=1),-(SUMIFS(INDIRECT($AV{r}),INDIRECT($AW{r}),"R",INDIRECT($CO{r}),-1)+(-SUMIFS(INDIRECT($AV{r}),INDIRECT($AW{r}),"R",INDIRECT($CO{r}),1))),IF(AND(T{r}="T",CN{r}=0),(SUMIFS(INDIRECT($AV{r}),INDIRECT($AW{r}),"R",INDIRECT($CO{r}),-1)+(-SUMIFS(INDIRECT($AV{r}),INDIRECT($AW{r}),"R",INDIRECT($CO{r}),1))),IF(CN{r}=-1,-AJ{r},IF(CN{r}=1,AJ{r},-AJ{r})))))))</t>
  </si>
  <si>
    <t>&amp;=&amp;=IF(T{r}="H","",IF(CN{r}=1,Q{r}-O{r},O{r}-Q{r}))</t>
  </si>
  <si>
    <t>&amp;=&amp;=IF(T{r}="H","",IF(CN{r}=1,S{r}-O{r},O{r}-S{r}))</t>
  </si>
  <si>
    <t>&amp;=&amp;=IF(T{r}="H","",IF(CN{r}=1,R{r}-O{r},O{r}-R{r}))</t>
  </si>
  <si>
    <t>&amp;=&amp;=IFERROR(VLOOKUP(B{r},Budget!$A$20:$N$999,3,FALSE),0)</t>
  </si>
  <si>
    <t>&amp;=&amp;=IFERROR(VLOOKUP(B{r},Budget!$A$20:$N$999,4,FALSE),0)</t>
  </si>
  <si>
    <t>&amp;=&amp;=IFERROR(VLOOKUP(B{r},Budget!$A$20:$N$999,5,FALSE),0)</t>
  </si>
  <si>
    <t>&amp;=&amp;=IFERROR(VLOOKUP(B{r},Budget!$A$20:$N$999,6,FALSE),0)</t>
  </si>
  <si>
    <t>&amp;=&amp;=IFERROR(VLOOKUP(B{r},Budget!$A$20:$N$999,7,FALSE),0)</t>
  </si>
  <si>
    <t>&amp;=&amp;=IFERROR(VLOOKUP(B{r},Budget!$A$20:$N$999,8,FALSE),0)</t>
  </si>
  <si>
    <t>&amp;=&amp;=IFERROR(VLOOKUP(B{r},Budget!$A$20:$N$999,9,FALSE),0)</t>
  </si>
  <si>
    <t>&amp;=&amp;=IFERROR(VLOOKUP(B{r},Budget!$A$20:$N$999,10,FALSE),0)</t>
  </si>
  <si>
    <t>&amp;=&amp;=IFERROR(VLOOKUP(B{r},Budget!$A$20:$N$999,11,FALSE),0)</t>
  </si>
  <si>
    <t>&amp;=&amp;=IFERROR(VLOOKUP(B{r},Budget!$A$20:$N$999,12,FALSE),0)</t>
  </si>
  <si>
    <t>&amp;=&amp;=IFERROR(VLOOKUP(B{r},Budget!$A$20:$N$999,13,FALSE),0)</t>
  </si>
  <si>
    <t>&amp;=&amp;=IFERROR(VLOOKUP(B{r},Budget!$A$20:$N$999,14,FALSE),0)</t>
  </si>
  <si>
    <t>&amp;=&amp;=IF(T{r}="H","",IF(A{r}="",VLOOKUP($B{r},'Current Year Budget'!$B${r}:$O$999,14,FALSE),VLOOKUP(TRIM($A{r}),'Current Year Budget'!$A${r}:$O$999,15,FALSE)))</t>
  </si>
  <si>
    <t>&amp;=&amp;=IF(T{r}="H","",IFERROR(VLOOKUP($A{r},Forecast!$A${r}:$O$999,15,FALSE),IFERROR(VLOOKUP(TRIM($B{r}),Forecast!$B${r}:$O$999,15,FALSE),VLOOKUP(TRIM(B{r}),Forecast!A{r}:$C$106,3,FALSE))))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</si>
</sst>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.00;\-#,##0.00;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rgb="FF4B7323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4B7323"/>
      <name val="Calibri"/>
      <family val="2"/>
      <scheme val="minor"/>
    </font>
    <font>
      <b/>
      <sz val="2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1"/>
      <color indexed="8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89013336588644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left"/>
    </xf>
    <xf numFmtId="0" fontId="5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" fontId="1" fillId="0" borderId="0" xfId="2" applyNumberFormat="1" applyFont="1" applyFill="1" applyBorder="1" applyAlignment="1" applyProtection="1">
      <alignment horizontal="center" vertical="center"/>
      <protection locked="0"/>
    </xf>
    <xf numFmtId="1" fontId="1" fillId="0" borderId="0" xfId="3" applyNumberFormat="1" applyFont="1" applyBorder="1" applyAlignment="1" applyProtection="1">
      <alignment horizontal="center" vertical="center"/>
      <protection locked="0"/>
    </xf>
    <xf numFmtId="1" fontId="2" fillId="2" borderId="0" xfId="0" applyNumberFormat="1" applyFont="1" applyFill="1" applyProtection="1">
      <protection locked="0"/>
    </xf>
    <xf numFmtId="0" fontId="2" fillId="0" borderId="0" xfId="0" applyFont="1" applyAlignment="1" applyProtection="1">
      <alignment wrapText="1"/>
      <protection locked="0"/>
    </xf>
    <xf numFmtId="0" fontId="1" fillId="0" borderId="0" xfId="2" applyNumberFormat="1" applyFont="1" applyAlignment="1" applyProtection="1">
      <alignment horizontal="center"/>
      <protection locked="0"/>
    </xf>
    <xf numFmtId="0" fontId="2" fillId="2" borderId="0" xfId="2" applyNumberFormat="1" applyFont="1" applyFill="1" applyAlignment="1" applyProtection="1">
      <alignment horizont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2" fillId="0" borderId="0" xfId="0" applyFont="1"/>
    <xf numFmtId="0" fontId="1" fillId="0" borderId="0" xfId="2" applyNumberFormat="1" applyFont="1" applyFill="1" applyBorder="1" applyAlignment="1" applyProtection="1">
      <alignment horizontal="center"/>
      <protection locked="0"/>
    </xf>
    <xf numFmtId="0" fontId="2" fillId="0" borderId="0" xfId="2" applyNumberFormat="1" applyFont="1" applyFill="1" applyBorder="1" applyAlignment="1" applyProtection="1">
      <alignment horizontal="center"/>
      <protection locked="0"/>
    </xf>
    <xf numFmtId="0" fontId="7" fillId="0" borderId="0" xfId="0" applyFont="1"/>
    <xf numFmtId="0" fontId="8" fillId="2" borderId="0" xfId="2" applyNumberFormat="1" applyFont="1" applyFill="1" applyAlignment="1" applyProtection="1">
      <alignment horizontal="center"/>
      <protection locked="0"/>
    </xf>
    <xf numFmtId="0" fontId="9" fillId="3" borderId="0" xfId="0" applyFont="1" applyFill="1" applyAlignment="1" applyProtection="1">
      <alignment horizontal="left"/>
      <protection locked="0"/>
    </xf>
    <xf numFmtId="0" fontId="10" fillId="0" borderId="0" xfId="0" applyFont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11" fillId="0" borderId="0" xfId="2" applyNumberFormat="1" applyFont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8" fillId="0" borderId="0" xfId="2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0" fillId="0" borderId="0" xfId="0" applyProtection="1">
      <protection locked="0"/>
    </xf>
    <xf numFmtId="0" fontId="2" fillId="2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1" fillId="0" borderId="0" xfId="3" applyNumberFormat="1" applyFont="1" applyBorder="1" applyAlignment="1" applyProtection="1">
      <alignment horizontal="center"/>
      <protection locked="0"/>
    </xf>
    <xf numFmtId="1" fontId="3" fillId="0" borderId="0" xfId="0" applyNumberFormat="1" applyFont="1" applyProtection="1">
      <protection locked="0"/>
    </xf>
    <xf numFmtId="0" fontId="2" fillId="0" borderId="0" xfId="2" applyNumberFormat="1" applyFont="1" applyAlignment="1" applyProtection="1">
      <alignment horizontal="center"/>
      <protection locked="0"/>
    </xf>
    <xf numFmtId="0" fontId="4" fillId="0" borderId="0" xfId="0" applyFont="1"/>
    <xf numFmtId="0" fontId="14" fillId="2" borderId="10" xfId="2" applyNumberFormat="1" applyFont="1" applyFill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/>
      <protection locked="0"/>
    </xf>
    <xf numFmtId="0" fontId="9" fillId="3" borderId="10" xfId="0" applyFont="1" applyFill="1" applyBorder="1" applyAlignment="1" applyProtection="1">
      <alignment horizontal="left"/>
      <protection locked="0"/>
    </xf>
    <xf numFmtId="4" fontId="0" fillId="0" borderId="0" xfId="1" applyNumberFormat="1" applyFont="1" applyAlignment="1" applyProtection="1">
      <alignment horizontal="right" vertical="center"/>
    </xf>
    <xf numFmtId="4" fontId="0" fillId="0" borderId="0" xfId="0" applyNumberFormat="1"/>
    <xf numFmtId="0" fontId="2" fillId="0" borderId="10" xfId="0" applyFont="1" applyBorder="1" applyAlignment="1">
      <alignment horizontal="left"/>
    </xf>
    <xf numFmtId="0" fontId="2" fillId="0" borderId="10" xfId="0" applyFont="1" applyBorder="1" applyAlignment="1">
      <alignment horizontal="center" vertical="center"/>
    </xf>
    <xf numFmtId="0" fontId="9" fillId="0" borderId="0" xfId="0" applyFont="1" applyAlignment="1" applyProtection="1">
      <alignment horizontal="center"/>
      <protection locked="0"/>
    </xf>
    <xf numFmtId="0" fontId="0" fillId="0" borderId="0" xfId="1" applyNumberFormat="1" applyFont="1" applyAlignment="1" applyProtection="1">
      <alignment horizontal="right" vertical="center"/>
    </xf>
    <xf numFmtId="0" fontId="18" fillId="0" borderId="0" xfId="0" applyFont="1"/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/>
    <xf numFmtId="37" fontId="0" fillId="0" borderId="0" xfId="0" applyNumberFormat="1"/>
    <xf numFmtId="164" fontId="0" fillId="0" borderId="5" xfId="1" applyNumberFormat="1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vertical="top"/>
      <protection locked="0"/>
    </xf>
    <xf numFmtId="164" fontId="0" fillId="0" borderId="8" xfId="1" applyNumberFormat="1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vertical="center"/>
      <protection locked="0"/>
    </xf>
    <xf numFmtId="0" fontId="20" fillId="0" borderId="0" xfId="0" applyFont="1"/>
    <xf numFmtId="0" fontId="19" fillId="0" borderId="0" xfId="0" applyFont="1" applyAlignment="1">
      <alignment horizontal="left" vertical="center"/>
    </xf>
    <xf numFmtId="0" fontId="2" fillId="5" borderId="1" xfId="2" applyNumberFormat="1" applyFont="1" applyFill="1" applyBorder="1" applyAlignment="1" applyProtection="1">
      <alignment horizontal="center"/>
      <protection locked="0"/>
    </xf>
    <xf numFmtId="164" fontId="0" fillId="0" borderId="2" xfId="1" applyNumberFormat="1" applyFont="1" applyBorder="1" applyAlignment="1" applyProtection="1">
      <alignment horizontal="center" vertical="center"/>
      <protection locked="0"/>
    </xf>
    <xf numFmtId="0" fontId="2" fillId="5" borderId="2" xfId="2" applyNumberFormat="1" applyFont="1" applyFill="1" applyBorder="1" applyAlignment="1" applyProtection="1">
      <alignment horizontal="center"/>
      <protection locked="0"/>
    </xf>
    <xf numFmtId="0" fontId="13" fillId="5" borderId="2" xfId="2" applyNumberFormat="1" applyFont="1" applyFill="1" applyBorder="1" applyAlignment="1" applyProtection="1">
      <alignment horizontal="center"/>
      <protection locked="0"/>
    </xf>
    <xf numFmtId="164" fontId="0" fillId="0" borderId="3" xfId="1" applyNumberFormat="1" applyFont="1" applyBorder="1" applyAlignment="1" applyProtection="1">
      <alignment horizontal="center" vertical="center"/>
      <protection locked="0"/>
    </xf>
    <xf numFmtId="0" fontId="2" fillId="5" borderId="4" xfId="2" applyNumberFormat="1" applyFont="1" applyFill="1" applyBorder="1" applyAlignment="1" applyProtection="1">
      <alignment horizontal="center"/>
      <protection locked="0"/>
    </xf>
    <xf numFmtId="0" fontId="2" fillId="5" borderId="5" xfId="2" applyNumberFormat="1" applyFont="1" applyFill="1" applyBorder="1" applyAlignment="1" applyProtection="1">
      <alignment horizontal="center"/>
      <protection locked="0"/>
    </xf>
    <xf numFmtId="0" fontId="13" fillId="5" borderId="5" xfId="2" applyNumberFormat="1" applyFont="1" applyFill="1" applyBorder="1" applyAlignment="1" applyProtection="1">
      <alignment horizontal="center"/>
      <protection locked="0"/>
    </xf>
    <xf numFmtId="164" fontId="0" fillId="0" borderId="6" xfId="1" applyNumberFormat="1" applyFont="1" applyBorder="1" applyAlignment="1" applyProtection="1">
      <alignment horizontal="center" vertical="center"/>
      <protection locked="0"/>
    </xf>
    <xf numFmtId="0" fontId="14" fillId="5" borderId="5" xfId="2" applyNumberFormat="1" applyFont="1" applyFill="1" applyBorder="1" applyAlignment="1" applyProtection="1">
      <alignment horizontal="center"/>
      <protection locked="0"/>
    </xf>
    <xf numFmtId="0" fontId="2" fillId="5" borderId="7" xfId="2" applyNumberFormat="1" applyFont="1" applyFill="1" applyBorder="1" applyAlignment="1" applyProtection="1">
      <alignment horizontal="center"/>
      <protection locked="0"/>
    </xf>
    <xf numFmtId="0" fontId="2" fillId="5" borderId="8" xfId="2" applyNumberFormat="1" applyFont="1" applyFill="1" applyBorder="1" applyAlignment="1" applyProtection="1">
      <alignment horizontal="center"/>
      <protection locked="0"/>
    </xf>
    <xf numFmtId="164" fontId="0" fillId="0" borderId="9" xfId="1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wrapText="1"/>
      <protection locked="0"/>
    </xf>
    <xf numFmtId="2" fontId="15" fillId="0" borderId="2" xfId="0" applyNumberFormat="1" applyFont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wrapText="1"/>
      <protection locked="0"/>
    </xf>
    <xf numFmtId="2" fontId="15" fillId="0" borderId="5" xfId="0" applyNumberFormat="1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wrapText="1"/>
      <protection locked="0"/>
    </xf>
    <xf numFmtId="10" fontId="15" fillId="0" borderId="5" xfId="0" applyNumberFormat="1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wrapText="1"/>
      <protection locked="0"/>
    </xf>
    <xf numFmtId="10" fontId="7" fillId="4" borderId="8" xfId="0" applyNumberFormat="1" applyFont="1" applyFill="1" applyBorder="1" applyAlignment="1" applyProtection="1">
      <alignment horizontal="center"/>
      <protection locked="0"/>
    </xf>
    <xf numFmtId="10" fontId="7" fillId="4" borderId="9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 vertical="center"/>
    </xf>
    <xf numFmtId="9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165" fontId="17" fillId="2" borderId="0" xfId="1" applyNumberFormat="1" applyFont="1" applyFill="1" applyBorder="1" applyAlignment="1" applyProtection="1">
      <alignment horizontal="right"/>
      <protection locked="0"/>
    </xf>
    <xf numFmtId="165" fontId="0" fillId="0" borderId="0" xfId="1" applyNumberFormat="1" applyFont="1" applyAlignment="1">
      <alignment horizontal="right"/>
    </xf>
    <xf numFmtId="0" fontId="22" fillId="0" borderId="0" xfId="0" applyFont="1"/>
    <xf numFmtId="0" fontId="14" fillId="2" borderId="10" xfId="2" applyNumberFormat="1" applyFont="1" applyFill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9" fillId="3" borderId="10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165" fontId="7" fillId="0" borderId="0" xfId="1" applyNumberFormat="1" applyFont="1" applyFill="1" applyAlignment="1" applyProtection="1">
      <alignment horizontal="right"/>
      <protection locked="0"/>
    </xf>
    <xf numFmtId="165" fontId="17" fillId="3" borderId="0" xfId="1" applyNumberFormat="1" applyFont="1" applyFill="1" applyBorder="1" applyAlignment="1" applyProtection="1">
      <alignment horizontal="right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wrapText="1"/>
      <protection locked="0"/>
    </xf>
    <xf numFmtId="0" fontId="21" fillId="0" borderId="10" xfId="0" applyFont="1" applyBorder="1" applyAlignment="1">
      <alignment horizontal="center" vertical="center" wrapText="1"/>
    </xf>
    <xf numFmtId="0" fontId="5" fillId="0" borderId="0" xfId="0" applyFont="1" applyAlignment="1" applyProtection="1">
      <alignment horizontal="center" vertical="center"/>
      <protection locked="0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61"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</dxfs>
  <tableStyles count="0" defaultTableStyle="TableStyleMedium2" defaultPivotStyle="PivotStyleLight16"/>
  <colors>
    <mruColors>
      <color rgb="FFFF5B5B"/>
      <color rgb="FFF26A0E"/>
      <color rgb="FFBE3328"/>
      <color rgb="FFFF2525"/>
      <color rgb="FFD8EAAC"/>
      <color rgb="FFFC9ACE"/>
      <color rgb="FFFECA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800100</xdr:colOff>
          <xdr:row>1</xdr:row>
          <xdr:rowOff>63500</xdr:rowOff>
        </xdr:from>
        <xdr:to>
          <xdr:col>12</xdr:col>
          <xdr:colOff>927100</xdr:colOff>
          <xdr:row>5</xdr:row>
          <xdr:rowOff>139700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Budget.csv Import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B2DC1-8303-48D0-8706-ED47385EDF8B}">
  <sheetPr codeName="Sheet4">
    <tabColor theme="7"/>
  </sheetPr>
  <dimension ref="A1:CR500"/>
  <sheetViews>
    <sheetView showGridLines="0" tabSelected="1" view="pageBreakPreview" zoomScale="60" zoomScaleNormal="75" workbookViewId="0"/>
  </sheetViews>
  <sheetFormatPr baseColWidth="10" defaultColWidth="11.5" defaultRowHeight="15" x14ac:dyDescent="0.2"/>
  <cols>
    <col min="1" max="1" width="9.5" style="1" customWidth="1"/>
    <col min="2" max="2" width="41.83203125" style="1" customWidth="1"/>
    <col min="3" max="4" width="16.1640625" customWidth="1"/>
    <col min="5" max="5" width="17.1640625" customWidth="1"/>
    <col min="6" max="6" width="18.5" customWidth="1"/>
    <col min="7" max="7" width="15.83203125" customWidth="1"/>
    <col min="8" max="9" width="15.5" customWidth="1"/>
    <col min="10" max="10" width="18.5" customWidth="1"/>
    <col min="11" max="12" width="15.6640625" customWidth="1"/>
    <col min="13" max="13" width="16.1640625" customWidth="1"/>
    <col min="14" max="14" width="16" customWidth="1"/>
    <col min="15" max="15" width="16.5" customWidth="1"/>
    <col min="16" max="17" width="17.1640625" customWidth="1"/>
    <col min="18" max="18" width="17.33203125" customWidth="1"/>
    <col min="19" max="19" width="21.1640625" customWidth="1"/>
    <col min="20" max="21" width="11.5" hidden="1" customWidth="1"/>
    <col min="22" max="22" width="14.1640625" hidden="1" customWidth="1"/>
    <col min="23" max="23" width="17.1640625" customWidth="1"/>
    <col min="24" max="24" width="14" hidden="1" customWidth="1"/>
    <col min="25" max="95" width="11.5" hidden="1" customWidth="1"/>
    <col min="96" max="96" width="0" hidden="1" customWidth="1"/>
  </cols>
  <sheetData>
    <row r="1" spans="1:24" s="12" customFormat="1" ht="34" x14ac:dyDescent="0.2">
      <c r="A1" s="15"/>
      <c r="B1" s="2"/>
      <c r="C1" s="2"/>
      <c r="D1" s="90" t="s">
        <v>3</v>
      </c>
      <c r="E1" s="90"/>
      <c r="F1" s="90"/>
      <c r="G1" s="90"/>
      <c r="H1" s="90"/>
      <c r="I1" s="90"/>
      <c r="J1" s="90"/>
      <c r="K1" s="90"/>
      <c r="L1" s="2"/>
      <c r="M1" s="2"/>
      <c r="N1" s="2"/>
      <c r="O1" s="16"/>
      <c r="P1" s="2"/>
      <c r="Q1" s="17"/>
    </row>
    <row r="2" spans="1:24" s="12" customFormat="1" ht="16" thickBot="1" x14ac:dyDescent="0.25">
      <c r="A2" s="19"/>
      <c r="B2" s="20"/>
      <c r="C2" s="21"/>
      <c r="D2" s="21"/>
      <c r="E2" s="21"/>
      <c r="F2" s="22"/>
      <c r="G2" s="21"/>
      <c r="H2" s="21"/>
      <c r="I2" s="21"/>
      <c r="J2" s="21"/>
      <c r="K2" s="21"/>
      <c r="L2" s="21"/>
      <c r="M2" s="21"/>
      <c r="O2" s="16"/>
      <c r="P2" s="23"/>
      <c r="Q2" s="17"/>
    </row>
    <row r="3" spans="1:24" s="12" customFormat="1" ht="16" x14ac:dyDescent="0.2">
      <c r="A3" s="19"/>
      <c r="B3" s="76" t="s">
        <v>181</v>
      </c>
      <c r="C3" s="25"/>
      <c r="D3" s="52" t="s">
        <v>4</v>
      </c>
      <c r="E3" s="53" t="s">
        <v>5</v>
      </c>
      <c r="F3" s="54" t="s">
        <v>6</v>
      </c>
      <c r="G3" s="53" t="e">
        <f>ABS(ROUND(VLOOKUP("*Gross Potential Rent*",$B$20:$O$999, 14, FALSE)/$E$3,2))</f>
        <v>#N/A</v>
      </c>
      <c r="H3" s="54" t="s">
        <v>7</v>
      </c>
      <c r="I3" s="53"/>
      <c r="J3" s="55" t="s">
        <v>8</v>
      </c>
      <c r="K3" s="56" t="e">
        <f>ABS(ROUND(VLOOKUP("*TOTAL EXPENSES*",$B$20:$O$999, 14, FALSE),2))</f>
        <v>#N/A</v>
      </c>
      <c r="L3" s="25"/>
      <c r="M3" s="25"/>
      <c r="O3" s="26"/>
      <c r="P3" s="27"/>
      <c r="Q3" s="17"/>
    </row>
    <row r="4" spans="1:24" s="12" customFormat="1" x14ac:dyDescent="0.2">
      <c r="A4" s="19"/>
      <c r="B4" s="75">
        <v>0.04</v>
      </c>
      <c r="C4" s="25"/>
      <c r="D4" s="57" t="s">
        <v>9</v>
      </c>
      <c r="E4" s="46" t="e">
        <f>VLOOKUP("*TOTAL INCOME*",$B$20:$O$999,14,FALSE)</f>
        <v>#N/A</v>
      </c>
      <c r="F4" s="58" t="s">
        <v>10</v>
      </c>
      <c r="G4" s="46" t="s">
        <v>151</v>
      </c>
      <c r="H4" s="58" t="s">
        <v>11</v>
      </c>
      <c r="I4" s="46" t="e">
        <f>ROUND(VLOOKUP("*Gross Potential Rent*",$B$20:$O$999, 14, FALSE)/12,2)</f>
        <v>#N/A</v>
      </c>
      <c r="J4" s="59" t="s">
        <v>12</v>
      </c>
      <c r="K4" s="60" t="e">
        <f>ABS(ROUND(VLOOKUP("*TOTAL EXPENSES*",$B$20:$O$999, 14, FALSE)/$E$3,2))</f>
        <v>#N/A</v>
      </c>
      <c r="L4" s="25"/>
      <c r="M4" s="25"/>
      <c r="O4" s="26"/>
      <c r="P4" s="27"/>
      <c r="Q4" s="17"/>
    </row>
    <row r="5" spans="1:24" s="12" customFormat="1" x14ac:dyDescent="0.2">
      <c r="A5" s="19"/>
      <c r="B5" s="8"/>
      <c r="C5" s="25"/>
      <c r="D5" s="57" t="s">
        <v>13</v>
      </c>
      <c r="E5" s="46" t="e">
        <f>ROUND(VLOOKUP("*TOTAL INCOME*",$B$20:$O$999,14,FALSE)/$E$3,2)</f>
        <v>#N/A</v>
      </c>
      <c r="F5" s="58" t="s">
        <v>14</v>
      </c>
      <c r="G5" s="46" t="e">
        <f>ROUND(VLOOKUP("*Application Fees*",$B$20:$O$999, 14, FALSE),2)</f>
        <v>#N/A</v>
      </c>
      <c r="H5" s="47"/>
      <c r="I5" s="46"/>
      <c r="J5" s="61" t="s">
        <v>15</v>
      </c>
      <c r="K5" s="60"/>
      <c r="L5" s="25"/>
      <c r="M5" s="25"/>
      <c r="O5" s="26"/>
      <c r="P5" s="27"/>
      <c r="Q5" s="17"/>
    </row>
    <row r="6" spans="1:24" ht="16" thickBot="1" x14ac:dyDescent="0.25">
      <c r="A6" s="19"/>
      <c r="B6" s="8"/>
      <c r="C6" s="25"/>
      <c r="D6" s="62" t="s">
        <v>16</v>
      </c>
      <c r="E6" s="48" t="s">
        <v>17</v>
      </c>
      <c r="F6" s="63" t="s">
        <v>18</v>
      </c>
      <c r="G6" s="48" t="e">
        <f>ROUND(VLOOKUP("*Pet Rent*",$B$20:$O$999, 14, FALSE)/$E$3,2)</f>
        <v>#N/A</v>
      </c>
      <c r="H6" s="49"/>
      <c r="I6" s="48"/>
      <c r="J6" s="63" t="s">
        <v>19</v>
      </c>
      <c r="K6" s="64"/>
      <c r="L6" s="25"/>
      <c r="M6" s="25"/>
      <c r="O6" s="26"/>
      <c r="P6" s="27"/>
      <c r="Q6" s="17"/>
    </row>
    <row r="7" spans="1:24" x14ac:dyDescent="0.2">
      <c r="A7" s="19"/>
      <c r="B7" s="8"/>
      <c r="C7" s="25"/>
      <c r="D7" s="14"/>
      <c r="E7" s="13"/>
      <c r="F7" s="14"/>
      <c r="G7" s="13"/>
      <c r="H7" s="28"/>
      <c r="I7" s="28"/>
      <c r="J7" s="14"/>
      <c r="K7" s="29"/>
      <c r="L7" s="25"/>
      <c r="M7" s="25"/>
      <c r="N7" s="25"/>
      <c r="O7" s="26" t="s">
        <v>44</v>
      </c>
      <c r="P7" s="27"/>
      <c r="Q7" s="17"/>
    </row>
    <row r="8" spans="1:24" x14ac:dyDescent="0.2">
      <c r="A8" s="30" t="s">
        <v>120</v>
      </c>
      <c r="B8" s="3" t="str">
        <f>A8&amp;" move-outs"</f>
        <v>&amp;=Header.CurrentYear move-outs</v>
      </c>
      <c r="C8" s="4" t="s">
        <v>134</v>
      </c>
      <c r="D8" s="5" t="s">
        <v>135</v>
      </c>
      <c r="E8" s="5" t="s">
        <v>136</v>
      </c>
      <c r="F8" s="5" t="s">
        <v>137</v>
      </c>
      <c r="G8" s="5" t="s">
        <v>138</v>
      </c>
      <c r="H8" s="4" t="s">
        <v>139</v>
      </c>
      <c r="I8" s="4" t="s">
        <v>140</v>
      </c>
      <c r="J8" s="5" t="s">
        <v>141</v>
      </c>
      <c r="K8" s="6" t="s">
        <v>142</v>
      </c>
      <c r="L8" s="4" t="s">
        <v>143</v>
      </c>
      <c r="M8" s="4" t="s">
        <v>144</v>
      </c>
      <c r="N8" s="4" t="s">
        <v>145</v>
      </c>
      <c r="O8" s="7">
        <f>SUM(C8:N8)</f>
        <v>0</v>
      </c>
      <c r="P8" s="27"/>
      <c r="Q8" s="17"/>
    </row>
    <row r="9" spans="1:24" x14ac:dyDescent="0.2">
      <c r="A9" s="30" t="s">
        <v>45</v>
      </c>
      <c r="B9" s="3" t="str">
        <f>A9&amp;" Lease expirations"</f>
        <v>&amp;=Header.BudYear Lease expirations</v>
      </c>
      <c r="C9" s="4" t="s">
        <v>32</v>
      </c>
      <c r="D9" s="5" t="s">
        <v>33</v>
      </c>
      <c r="E9" s="5" t="s">
        <v>34</v>
      </c>
      <c r="F9" s="5" t="s">
        <v>35</v>
      </c>
      <c r="G9" s="5" t="s">
        <v>36</v>
      </c>
      <c r="H9" s="4" t="s">
        <v>37</v>
      </c>
      <c r="I9" s="4" t="s">
        <v>38</v>
      </c>
      <c r="J9" s="5" t="s">
        <v>39</v>
      </c>
      <c r="K9" s="6" t="s">
        <v>40</v>
      </c>
      <c r="L9" s="4" t="s">
        <v>41</v>
      </c>
      <c r="M9" s="4" t="s">
        <v>42</v>
      </c>
      <c r="N9" s="4" t="s">
        <v>43</v>
      </c>
      <c r="O9" s="7">
        <f>SUM(C9:N9)</f>
        <v>0</v>
      </c>
      <c r="P9" s="27"/>
      <c r="Q9" s="17"/>
    </row>
    <row r="10" spans="1:24" x14ac:dyDescent="0.2">
      <c r="A10" s="30" t="s">
        <v>45</v>
      </c>
      <c r="B10" s="3" t="str">
        <f>A10&amp;" Projected Move-Outs"</f>
        <v>&amp;=Header.BudYear Projected Move-Outs</v>
      </c>
      <c r="C10" s="4" t="s">
        <v>20</v>
      </c>
      <c r="D10" s="5" t="s">
        <v>21</v>
      </c>
      <c r="E10" s="5" t="s">
        <v>22</v>
      </c>
      <c r="F10" s="5" t="s">
        <v>23</v>
      </c>
      <c r="G10" s="5" t="s">
        <v>24</v>
      </c>
      <c r="H10" s="4" t="s">
        <v>25</v>
      </c>
      <c r="I10" s="4" t="s">
        <v>26</v>
      </c>
      <c r="J10" s="5" t="s">
        <v>27</v>
      </c>
      <c r="K10" s="6" t="s">
        <v>28</v>
      </c>
      <c r="L10" s="4" t="s">
        <v>29</v>
      </c>
      <c r="M10" s="4" t="s">
        <v>30</v>
      </c>
      <c r="N10" s="4" t="s">
        <v>31</v>
      </c>
      <c r="O10" s="7">
        <f>SUM(C10:N10)</f>
        <v>0</v>
      </c>
      <c r="P10" s="27"/>
      <c r="Q10" s="17"/>
    </row>
    <row r="11" spans="1:24" x14ac:dyDescent="0.2">
      <c r="A11" s="19"/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10"/>
      <c r="P11" s="31"/>
      <c r="Q11" s="17"/>
    </row>
    <row r="12" spans="1:24" ht="16" thickBot="1" x14ac:dyDescent="0.25">
      <c r="A12" s="19"/>
      <c r="B12" s="20"/>
      <c r="C12" s="31" t="s">
        <v>46</v>
      </c>
      <c r="D12" s="31" t="s">
        <v>47</v>
      </c>
      <c r="E12" s="31" t="s">
        <v>48</v>
      </c>
      <c r="F12" s="31" t="s">
        <v>49</v>
      </c>
      <c r="G12" s="31" t="s">
        <v>50</v>
      </c>
      <c r="H12" s="31" t="s">
        <v>51</v>
      </c>
      <c r="I12" s="31" t="s">
        <v>52</v>
      </c>
      <c r="J12" s="31" t="s">
        <v>53</v>
      </c>
      <c r="K12" s="31" t="s">
        <v>54</v>
      </c>
      <c r="L12" s="31" t="s">
        <v>55</v>
      </c>
      <c r="M12" s="31" t="s">
        <v>56</v>
      </c>
      <c r="N12" s="31" t="s">
        <v>57</v>
      </c>
      <c r="O12" s="10"/>
      <c r="P12" s="31"/>
      <c r="Q12" s="17"/>
    </row>
    <row r="13" spans="1:24" ht="16" x14ac:dyDescent="0.2">
      <c r="A13" s="19"/>
      <c r="B13" s="65" t="s">
        <v>58</v>
      </c>
      <c r="C13" s="66" t="e">
        <f>+$E$3*C$15</f>
        <v>#VALUE!</v>
      </c>
      <c r="D13" s="66" t="e">
        <f t="shared" ref="D13:N13" si="0">+$E$3*D$15</f>
        <v>#VALUE!</v>
      </c>
      <c r="E13" s="66" t="e">
        <f t="shared" si="0"/>
        <v>#VALUE!</v>
      </c>
      <c r="F13" s="66" t="e">
        <f t="shared" si="0"/>
        <v>#VALUE!</v>
      </c>
      <c r="G13" s="66" t="e">
        <f t="shared" si="0"/>
        <v>#VALUE!</v>
      </c>
      <c r="H13" s="66" t="e">
        <f t="shared" si="0"/>
        <v>#VALUE!</v>
      </c>
      <c r="I13" s="66" t="e">
        <f t="shared" si="0"/>
        <v>#VALUE!</v>
      </c>
      <c r="J13" s="66" t="e">
        <f t="shared" si="0"/>
        <v>#VALUE!</v>
      </c>
      <c r="K13" s="66" t="e">
        <f t="shared" si="0"/>
        <v>#VALUE!</v>
      </c>
      <c r="L13" s="66" t="e">
        <f t="shared" si="0"/>
        <v>#VALUE!</v>
      </c>
      <c r="M13" s="66" t="e">
        <f t="shared" si="0"/>
        <v>#VALUE!</v>
      </c>
      <c r="N13" s="66" t="e">
        <f t="shared" si="0"/>
        <v>#VALUE!</v>
      </c>
      <c r="O13" s="10"/>
      <c r="P13" s="31"/>
      <c r="Q13" s="17"/>
    </row>
    <row r="14" spans="1:24" ht="16" x14ac:dyDescent="0.2">
      <c r="A14" s="19"/>
      <c r="B14" s="67" t="s">
        <v>59</v>
      </c>
      <c r="C14" s="68" t="e">
        <f>ROUND(+$E$3*C$16,0)</f>
        <v>#VALUE!</v>
      </c>
      <c r="D14" s="68" t="e">
        <f t="shared" ref="D14:N14" si="1">ROUND(+$E$3*D$16,0)</f>
        <v>#VALUE!</v>
      </c>
      <c r="E14" s="68" t="e">
        <f t="shared" si="1"/>
        <v>#VALUE!</v>
      </c>
      <c r="F14" s="68" t="e">
        <f t="shared" si="1"/>
        <v>#VALUE!</v>
      </c>
      <c r="G14" s="68" t="e">
        <f t="shared" si="1"/>
        <v>#VALUE!</v>
      </c>
      <c r="H14" s="68" t="e">
        <f t="shared" si="1"/>
        <v>#VALUE!</v>
      </c>
      <c r="I14" s="68" t="e">
        <f t="shared" si="1"/>
        <v>#VALUE!</v>
      </c>
      <c r="J14" s="68" t="e">
        <f t="shared" si="1"/>
        <v>#VALUE!</v>
      </c>
      <c r="K14" s="68" t="e">
        <f t="shared" si="1"/>
        <v>#VALUE!</v>
      </c>
      <c r="L14" s="68" t="e">
        <f t="shared" si="1"/>
        <v>#VALUE!</v>
      </c>
      <c r="M14" s="68" t="e">
        <f t="shared" si="1"/>
        <v>#VALUE!</v>
      </c>
      <c r="N14" s="68" t="e">
        <f t="shared" si="1"/>
        <v>#VALUE!</v>
      </c>
      <c r="O14" s="10"/>
      <c r="P14" s="31"/>
      <c r="Q14" s="17"/>
    </row>
    <row r="15" spans="1:24" ht="16" x14ac:dyDescent="0.2">
      <c r="A15" s="19"/>
      <c r="B15" s="69" t="s">
        <v>60</v>
      </c>
      <c r="C15" s="70">
        <f>1-C$16</f>
        <v>0.97</v>
      </c>
      <c r="D15" s="70">
        <f t="shared" ref="D15:N15" si="2">1-D$16</f>
        <v>0.97</v>
      </c>
      <c r="E15" s="70">
        <f t="shared" si="2"/>
        <v>0.97</v>
      </c>
      <c r="F15" s="70">
        <f t="shared" si="2"/>
        <v>0.97</v>
      </c>
      <c r="G15" s="70">
        <f t="shared" si="2"/>
        <v>0.95</v>
      </c>
      <c r="H15" s="70">
        <f t="shared" si="2"/>
        <v>0.95</v>
      </c>
      <c r="I15" s="70">
        <f t="shared" si="2"/>
        <v>0.95</v>
      </c>
      <c r="J15" s="70">
        <f t="shared" si="2"/>
        <v>0.96</v>
      </c>
      <c r="K15" s="70">
        <f t="shared" si="2"/>
        <v>0.97</v>
      </c>
      <c r="L15" s="70">
        <f t="shared" si="2"/>
        <v>0.97</v>
      </c>
      <c r="M15" s="70">
        <f t="shared" si="2"/>
        <v>0.97</v>
      </c>
      <c r="N15" s="70">
        <f t="shared" si="2"/>
        <v>0.97</v>
      </c>
      <c r="O15" s="10"/>
      <c r="P15" s="31"/>
      <c r="Q15" s="17"/>
    </row>
    <row r="16" spans="1:24" ht="17" thickBot="1" x14ac:dyDescent="0.25">
      <c r="A16" s="19"/>
      <c r="B16" s="71" t="s">
        <v>61</v>
      </c>
      <c r="C16" s="72">
        <v>0.03</v>
      </c>
      <c r="D16" s="72">
        <v>0.03</v>
      </c>
      <c r="E16" s="72">
        <v>0.03</v>
      </c>
      <c r="F16" s="72">
        <v>0.03</v>
      </c>
      <c r="G16" s="72">
        <v>0.05</v>
      </c>
      <c r="H16" s="72">
        <v>0.05</v>
      </c>
      <c r="I16" s="72">
        <v>0.05</v>
      </c>
      <c r="J16" s="72">
        <v>0.04</v>
      </c>
      <c r="K16" s="72">
        <v>0.03</v>
      </c>
      <c r="L16" s="72">
        <v>0.03</v>
      </c>
      <c r="M16" s="72">
        <v>0.03</v>
      </c>
      <c r="N16" s="73">
        <v>0.03</v>
      </c>
      <c r="O16" s="10"/>
      <c r="P16" s="31"/>
      <c r="Q16" s="17"/>
      <c r="X16" s="44"/>
    </row>
    <row r="17" spans="1:96" x14ac:dyDescent="0.2">
      <c r="A17" s="19"/>
      <c r="B17" s="20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0"/>
      <c r="P17" s="32" t="s">
        <v>62</v>
      </c>
      <c r="Q17" s="17"/>
      <c r="AK17" t="s">
        <v>84</v>
      </c>
      <c r="AL17" t="s">
        <v>85</v>
      </c>
      <c r="AM17" t="s">
        <v>86</v>
      </c>
      <c r="AN17" t="s">
        <v>87</v>
      </c>
      <c r="AO17" t="s">
        <v>88</v>
      </c>
      <c r="AP17" t="s">
        <v>89</v>
      </c>
      <c r="AQ17" t="s">
        <v>90</v>
      </c>
      <c r="AR17" t="s">
        <v>65</v>
      </c>
      <c r="AS17" t="s">
        <v>91</v>
      </c>
      <c r="AT17" t="s">
        <v>92</v>
      </c>
      <c r="AU17" t="s">
        <v>94</v>
      </c>
      <c r="AV17" t="s">
        <v>93</v>
      </c>
    </row>
    <row r="18" spans="1:96" x14ac:dyDescent="0.2">
      <c r="A18" s="11"/>
      <c r="B18" s="43"/>
      <c r="O18" s="10"/>
      <c r="Q18" s="17"/>
      <c r="AK18" s="12">
        <v>1</v>
      </c>
      <c r="AL18" s="12">
        <v>2</v>
      </c>
      <c r="AM18" s="12">
        <v>3</v>
      </c>
      <c r="AN18" s="12">
        <v>4</v>
      </c>
      <c r="AO18" s="12">
        <v>5</v>
      </c>
      <c r="AP18" s="12">
        <v>6</v>
      </c>
      <c r="AQ18" s="12">
        <v>7</v>
      </c>
      <c r="AR18" s="12">
        <v>8</v>
      </c>
      <c r="AS18" s="12">
        <v>9</v>
      </c>
      <c r="AT18" s="12">
        <v>10</v>
      </c>
      <c r="AU18" s="12">
        <v>11</v>
      </c>
      <c r="AV18" s="12">
        <v>12</v>
      </c>
      <c r="BY18" t="s">
        <v>165</v>
      </c>
      <c r="BZ18" t="s">
        <v>165</v>
      </c>
      <c r="CA18" t="s">
        <v>165</v>
      </c>
      <c r="CB18" t="s">
        <v>165</v>
      </c>
      <c r="CC18" t="s">
        <v>165</v>
      </c>
      <c r="CD18" t="s">
        <v>165</v>
      </c>
      <c r="CE18" t="s">
        <v>165</v>
      </c>
      <c r="CF18" t="s">
        <v>165</v>
      </c>
      <c r="CG18" t="s">
        <v>165</v>
      </c>
      <c r="CH18" t="s">
        <v>165</v>
      </c>
      <c r="CI18" t="s">
        <v>165</v>
      </c>
      <c r="CJ18" t="s">
        <v>165</v>
      </c>
    </row>
    <row r="19" spans="1:96" ht="49.5" customHeight="1" thickBot="1" x14ac:dyDescent="0.25">
      <c r="A19" s="38" t="s">
        <v>2</v>
      </c>
      <c r="B19" s="38" t="s">
        <v>0</v>
      </c>
      <c r="C19" s="89" t="s">
        <v>168</v>
      </c>
      <c r="D19" s="89" t="s">
        <v>169</v>
      </c>
      <c r="E19" s="89" t="s">
        <v>170</v>
      </c>
      <c r="F19" s="89" t="s">
        <v>171</v>
      </c>
      <c r="G19" s="89" t="s">
        <v>172</v>
      </c>
      <c r="H19" s="89" t="s">
        <v>173</v>
      </c>
      <c r="I19" s="89" t="s">
        <v>174</v>
      </c>
      <c r="J19" s="89" t="s">
        <v>175</v>
      </c>
      <c r="K19" s="89" t="s">
        <v>176</v>
      </c>
      <c r="L19" s="89" t="s">
        <v>177</v>
      </c>
      <c r="M19" s="89" t="s">
        <v>178</v>
      </c>
      <c r="N19" s="89" t="s">
        <v>179</v>
      </c>
      <c r="O19" s="80" t="s">
        <v>44</v>
      </c>
      <c r="P19" s="81" t="s">
        <v>63</v>
      </c>
      <c r="Q19" s="82" t="s">
        <v>242</v>
      </c>
      <c r="R19" s="81" t="s">
        <v>1</v>
      </c>
      <c r="S19" s="81" t="s">
        <v>243</v>
      </c>
      <c r="T19" s="87" t="s">
        <v>79</v>
      </c>
      <c r="U19" s="87" t="s">
        <v>80</v>
      </c>
      <c r="V19" s="87" t="s">
        <v>81</v>
      </c>
      <c r="W19" s="88" t="s">
        <v>244</v>
      </c>
      <c r="X19" s="51"/>
      <c r="Y19" s="39" t="s">
        <v>66</v>
      </c>
      <c r="Z19" s="39" t="s">
        <v>67</v>
      </c>
      <c r="AA19" s="39" t="s">
        <v>68</v>
      </c>
      <c r="AB19" s="39" t="s">
        <v>69</v>
      </c>
      <c r="AC19" s="39" t="s">
        <v>70</v>
      </c>
      <c r="AD19" s="39" t="s">
        <v>71</v>
      </c>
      <c r="AE19" s="39" t="s">
        <v>72</v>
      </c>
      <c r="AF19" s="39" t="s">
        <v>73</v>
      </c>
      <c r="AG19" s="39" t="s">
        <v>74</v>
      </c>
      <c r="AH19" s="39" t="s">
        <v>75</v>
      </c>
      <c r="AI19" s="39" t="s">
        <v>76</v>
      </c>
      <c r="AJ19" s="39" t="s">
        <v>77</v>
      </c>
      <c r="AK19" s="40" t="s">
        <v>82</v>
      </c>
      <c r="AL19" s="40" t="s">
        <v>82</v>
      </c>
      <c r="AM19" s="40" t="s">
        <v>82</v>
      </c>
      <c r="AN19" s="40" t="s">
        <v>82</v>
      </c>
      <c r="AO19" s="40" t="s">
        <v>82</v>
      </c>
      <c r="AP19" s="40" t="s">
        <v>82</v>
      </c>
      <c r="AQ19" s="40" t="s">
        <v>82</v>
      </c>
      <c r="AR19" s="40" t="s">
        <v>82</v>
      </c>
      <c r="AS19" s="40" t="s">
        <v>82</v>
      </c>
      <c r="AT19" s="40" t="s">
        <v>82</v>
      </c>
      <c r="AU19" s="40" t="s">
        <v>82</v>
      </c>
      <c r="AV19" s="40" t="s">
        <v>82</v>
      </c>
      <c r="AW19" s="40" t="s">
        <v>107</v>
      </c>
      <c r="AX19" s="40"/>
      <c r="AY19" s="40" t="s">
        <v>245</v>
      </c>
      <c r="AZ19" s="40" t="s">
        <v>246</v>
      </c>
      <c r="BA19" s="40" t="s">
        <v>247</v>
      </c>
      <c r="BB19" s="40" t="s">
        <v>248</v>
      </c>
      <c r="BC19" s="40" t="s">
        <v>249</v>
      </c>
      <c r="BD19" s="40" t="s">
        <v>250</v>
      </c>
      <c r="BE19" s="40" t="s">
        <v>251</v>
      </c>
      <c r="BF19" s="40" t="s">
        <v>252</v>
      </c>
      <c r="BG19" s="40" t="s">
        <v>253</v>
      </c>
      <c r="BH19" s="40" t="s">
        <v>253</v>
      </c>
      <c r="BI19" s="40" t="s">
        <v>254</v>
      </c>
      <c r="BJ19" s="40" t="s">
        <v>255</v>
      </c>
      <c r="BM19" s="39" t="s">
        <v>66</v>
      </c>
      <c r="BN19" s="39" t="s">
        <v>67</v>
      </c>
      <c r="BO19" s="39" t="s">
        <v>68</v>
      </c>
      <c r="BP19" s="39" t="s">
        <v>69</v>
      </c>
      <c r="BQ19" s="39" t="s">
        <v>70</v>
      </c>
      <c r="BR19" s="39" t="s">
        <v>71</v>
      </c>
      <c r="BS19" s="39" t="s">
        <v>72</v>
      </c>
      <c r="BT19" s="39" t="s">
        <v>73</v>
      </c>
      <c r="BU19" s="39" t="s">
        <v>74</v>
      </c>
      <c r="BV19" s="39" t="s">
        <v>75</v>
      </c>
      <c r="BW19" s="39" t="s">
        <v>76</v>
      </c>
      <c r="BX19" s="39" t="s">
        <v>77</v>
      </c>
      <c r="BY19" s="39" t="s">
        <v>66</v>
      </c>
      <c r="BZ19" s="39" t="s">
        <v>67</v>
      </c>
      <c r="CA19" s="39" t="s">
        <v>68</v>
      </c>
      <c r="CB19" s="39" t="s">
        <v>69</v>
      </c>
      <c r="CC19" s="39" t="s">
        <v>70</v>
      </c>
      <c r="CD19" s="39" t="s">
        <v>71</v>
      </c>
      <c r="CE19" s="39" t="s">
        <v>72</v>
      </c>
      <c r="CF19" s="39" t="s">
        <v>73</v>
      </c>
      <c r="CG19" s="39" t="s">
        <v>74</v>
      </c>
      <c r="CH19" s="39" t="s">
        <v>75</v>
      </c>
      <c r="CI19" s="39" t="s">
        <v>76</v>
      </c>
      <c r="CJ19" s="39" t="s">
        <v>77</v>
      </c>
      <c r="CR19" s="81"/>
    </row>
    <row r="20" spans="1:96" x14ac:dyDescent="0.2">
      <c r="A20" s="1" t="s">
        <v>197</v>
      </c>
      <c r="B20" s="1" t="s">
        <v>196</v>
      </c>
      <c r="C20" s="78" t="s">
        <v>256</v>
      </c>
      <c r="D20" s="78" t="s">
        <v>257</v>
      </c>
      <c r="E20" s="78" t="s">
        <v>258</v>
      </c>
      <c r="F20" s="78" t="s">
        <v>259</v>
      </c>
      <c r="G20" s="78" t="s">
        <v>260</v>
      </c>
      <c r="H20" s="78" t="s">
        <v>261</v>
      </c>
      <c r="I20" s="78" t="s">
        <v>262</v>
      </c>
      <c r="J20" s="78" t="s">
        <v>263</v>
      </c>
      <c r="K20" s="78" t="s">
        <v>264</v>
      </c>
      <c r="L20" s="78" t="s">
        <v>265</v>
      </c>
      <c r="M20" s="78" t="s">
        <v>266</v>
      </c>
      <c r="N20" s="78" t="s">
        <v>267</v>
      </c>
      <c r="O20" s="77" t="s">
        <v>146</v>
      </c>
      <c r="P20" s="78" t="s">
        <v>147</v>
      </c>
      <c r="Q20" s="85" t="s">
        <v>283</v>
      </c>
      <c r="R20" s="78" t="s">
        <v>268</v>
      </c>
      <c r="S20" s="78" t="s">
        <v>284</v>
      </c>
      <c r="T20" s="41" t="s">
        <v>194</v>
      </c>
      <c r="U20" t="s">
        <v>78</v>
      </c>
      <c r="V20" s="41" t="s">
        <v>195</v>
      </c>
      <c r="W20" s="78" t="s">
        <v>269</v>
      </c>
      <c r="X20" s="32">
        <f>_xlfn.MAXIFS($U$20:$U20,$T$20:$T20,"H",$U$20:$U20,"&gt;="&amp;LOOKUP(2,1/($T$20:$T20="H")),$V$20:$V20,"&lt;=$"&amp;V20)</f>
        <v>0</v>
      </c>
      <c r="Y20" s="37" t="s">
        <v>182</v>
      </c>
      <c r="Z20" t="s">
        <v>183</v>
      </c>
      <c r="AA20" t="s">
        <v>184</v>
      </c>
      <c r="AB20" t="s">
        <v>185</v>
      </c>
      <c r="AC20" t="s">
        <v>186</v>
      </c>
      <c r="AD20" t="s">
        <v>187</v>
      </c>
      <c r="AE20" t="s">
        <v>188</v>
      </c>
      <c r="AF20" t="s">
        <v>189</v>
      </c>
      <c r="AG20" t="s">
        <v>190</v>
      </c>
      <c r="AH20" t="s">
        <v>191</v>
      </c>
      <c r="AI20" t="s">
        <v>192</v>
      </c>
      <c r="AJ20" t="s">
        <v>193</v>
      </c>
      <c r="AK20" s="42" t="s">
        <v>83</v>
      </c>
      <c r="AL20" s="42" t="s">
        <v>95</v>
      </c>
      <c r="AM20" s="42" t="s">
        <v>96</v>
      </c>
      <c r="AN20" s="42" t="s">
        <v>97</v>
      </c>
      <c r="AO20" s="42" t="s">
        <v>98</v>
      </c>
      <c r="AP20" s="42" t="s">
        <v>99</v>
      </c>
      <c r="AQ20" s="42" t="s">
        <v>100</v>
      </c>
      <c r="AR20" s="42" t="s">
        <v>101</v>
      </c>
      <c r="AS20" s="42" t="s">
        <v>102</v>
      </c>
      <c r="AT20" s="42" t="s">
        <v>103</v>
      </c>
      <c r="AU20" s="42" t="s">
        <v>104</v>
      </c>
      <c r="AV20" s="42" t="s">
        <v>105</v>
      </c>
      <c r="AW20" s="42" t="s">
        <v>108</v>
      </c>
      <c r="AX20" s="42" t="s">
        <v>133</v>
      </c>
      <c r="BK20" s="45"/>
      <c r="BL20" t="s">
        <v>152</v>
      </c>
      <c r="BM20" s="37" t="s">
        <v>121</v>
      </c>
      <c r="BN20" s="37" t="s">
        <v>122</v>
      </c>
      <c r="BO20" s="37" t="s">
        <v>123</v>
      </c>
      <c r="BP20" s="37" t="s">
        <v>124</v>
      </c>
      <c r="BQ20" s="37" t="s">
        <v>125</v>
      </c>
      <c r="BR20" s="37" t="s">
        <v>126</v>
      </c>
      <c r="BS20" s="37" t="s">
        <v>127</v>
      </c>
      <c r="BT20" s="37" t="s">
        <v>128</v>
      </c>
      <c r="BU20" s="37" t="s">
        <v>129</v>
      </c>
      <c r="BV20" s="37" t="s">
        <v>130</v>
      </c>
      <c r="BW20" s="37" t="s">
        <v>131</v>
      </c>
      <c r="BX20" s="37" t="s">
        <v>132</v>
      </c>
      <c r="BY20" s="37" t="s">
        <v>153</v>
      </c>
      <c r="BZ20" s="37" t="s">
        <v>154</v>
      </c>
      <c r="CA20" s="37" t="s">
        <v>155</v>
      </c>
      <c r="CB20" s="37" t="s">
        <v>156</v>
      </c>
      <c r="CC20" s="37" t="s">
        <v>157</v>
      </c>
      <c r="CD20" s="37" t="s">
        <v>158</v>
      </c>
      <c r="CE20" s="37" t="s">
        <v>159</v>
      </c>
      <c r="CF20" s="37" t="s">
        <v>160</v>
      </c>
      <c r="CG20" s="37" t="s">
        <v>161</v>
      </c>
      <c r="CH20" s="37" t="s">
        <v>162</v>
      </c>
      <c r="CI20" s="37" t="s">
        <v>163</v>
      </c>
      <c r="CJ20" s="37" t="s">
        <v>164</v>
      </c>
      <c r="CK20" s="32" t="s">
        <v>166</v>
      </c>
      <c r="CL20" s="32" t="s">
        <v>180</v>
      </c>
      <c r="CN20" s="37" t="s">
        <v>133</v>
      </c>
      <c r="CO20" s="79" t="s">
        <v>198</v>
      </c>
      <c r="CQ20" t="s">
        <v>196</v>
      </c>
    </row>
    <row r="21" spans="1:96" x14ac:dyDescent="0.2">
      <c r="C21" s="45"/>
      <c r="D21" s="45"/>
      <c r="N21" s="45"/>
      <c r="X21" s="32">
        <f>_xlfn.MAXIFS($U$20:$U21,$T$20:$T21,"H",$U$20:$U21,"&gt;="&amp;LOOKUP(2,1/($T$20:$T21="H")),$V$20:$V21,"&lt;=$"&amp;V21)</f>
        <v>0</v>
      </c>
    </row>
    <row r="22" spans="1:96" x14ac:dyDescent="0.2">
      <c r="E22" s="45"/>
      <c r="F22" s="45"/>
      <c r="G22" s="45"/>
      <c r="H22" s="45"/>
      <c r="I22" s="45"/>
      <c r="J22" s="45"/>
      <c r="K22" s="45"/>
      <c r="L22" s="45"/>
      <c r="M22" s="45"/>
      <c r="N22" s="45"/>
      <c r="Q22" s="84"/>
      <c r="X22" s="32">
        <f>_xlfn.MAXIFS($U$20:$U22,$T$20:$T22,"H",$U$20:$U22,"&gt;="&amp;LOOKUP(2,1/($T$20:$T22="H")),$V$20:$V22,"&lt;=$"&amp;V22)</f>
        <v>0</v>
      </c>
    </row>
    <row r="23" spans="1:96" x14ac:dyDescent="0.2">
      <c r="X23" s="32">
        <f>_xlfn.MAXIFS($U$20:$U23,$T$20:$T23,"H",$U$20:$U23,"&gt;="&amp;LOOKUP(2,1/($T$20:$T23="H")),$V$20:$V23,"&lt;=$"&amp;V23)</f>
        <v>0</v>
      </c>
    </row>
    <row r="24" spans="1:96" x14ac:dyDescent="0.2">
      <c r="Q24" s="83"/>
      <c r="X24" s="32">
        <f>_xlfn.MAXIFS($U$20:$U24,$T$20:$T24,"H",$U$20:$U24,"&gt;="&amp;LOOKUP(2,1/($T$20:$T24="H")),$V$20:$V24,"&lt;=$"&amp;V24)</f>
        <v>0</v>
      </c>
    </row>
    <row r="25" spans="1:96" x14ac:dyDescent="0.2"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X25" s="32">
        <f>_xlfn.MAXIFS($U$20:$U25,$T$20:$T25,"H",$U$20:$U25,"&gt;="&amp;LOOKUP(2,1/($T$20:$T25="H")),$V$20:$V25,"&lt;=$"&amp;V25)</f>
        <v>0</v>
      </c>
    </row>
    <row r="26" spans="1:96" x14ac:dyDescent="0.2">
      <c r="X26" s="32">
        <f>_xlfn.MAXIFS($U$20:$U26,$T$20:$T26,"H",$U$20:$U26,"&gt;="&amp;LOOKUP(2,1/($T$20:$T26="H")),$V$20:$V26,"&lt;=$"&amp;V26)</f>
        <v>0</v>
      </c>
    </row>
    <row r="27" spans="1:96" x14ac:dyDescent="0.2">
      <c r="X27" s="32">
        <f>_xlfn.MAXIFS($U$20:$U27,$T$20:$T27,"H",$U$20:$U27,"&gt;="&amp;LOOKUP(2,1/($T$20:$T27="H")),$V$20:$V27,"&lt;=$"&amp;V27)</f>
        <v>0</v>
      </c>
    </row>
    <row r="28" spans="1:96" x14ac:dyDescent="0.2">
      <c r="X28" s="32">
        <f>_xlfn.MAXIFS($U$20:$U28,$T$20:$T28,"H",$U$20:$U28,"&gt;="&amp;LOOKUP(2,1/($T$20:$T28="H")),$V$20:$V28,"&lt;=$"&amp;V28)</f>
        <v>0</v>
      </c>
    </row>
    <row r="29" spans="1:96" x14ac:dyDescent="0.2">
      <c r="X29" s="32">
        <f>_xlfn.MAXIFS($U$20:$U29,$T$20:$T29,"H",$U$20:$U29,"&gt;="&amp;LOOKUP(2,1/($T$20:$T29="H")),$V$20:$V29,"&lt;=$"&amp;V29)</f>
        <v>0</v>
      </c>
    </row>
    <row r="30" spans="1:96" x14ac:dyDescent="0.2">
      <c r="X30" s="32">
        <f>_xlfn.MAXIFS($U$20:$U30,$T$20:$T30,"H",$U$20:$U30,"&gt;="&amp;LOOKUP(2,1/($T$20:$T30="H")),$V$20:$V30,"&lt;=$"&amp;V30)</f>
        <v>0</v>
      </c>
    </row>
    <row r="31" spans="1:96" x14ac:dyDescent="0.2">
      <c r="X31" s="32">
        <f>_xlfn.MAXIFS($U$20:$U31,$T$20:$T31,"H",$U$20:$U31,"&gt;="&amp;LOOKUP(2,1/($T$20:$T31="H")),$V$20:$V31,"&lt;=$"&amp;V31)</f>
        <v>0</v>
      </c>
    </row>
    <row r="32" spans="1:96" x14ac:dyDescent="0.2">
      <c r="X32" s="32">
        <f>_xlfn.MAXIFS($U$20:$U32,$T$20:$T32,"H",$U$20:$U32,"&gt;="&amp;LOOKUP(2,1/($T$20:$T32="H")),$V$20:$V32,"&lt;=$"&amp;V32)</f>
        <v>0</v>
      </c>
    </row>
    <row r="33" spans="24:24" x14ac:dyDescent="0.2">
      <c r="X33" s="32">
        <f>_xlfn.MAXIFS($U$20:$U33,$T$20:$T33,"H",$U$20:$U33,"&gt;="&amp;LOOKUP(2,1/($T$20:$T33="H")),$V$20:$V33,"&lt;=$"&amp;V33)</f>
        <v>0</v>
      </c>
    </row>
    <row r="34" spans="24:24" x14ac:dyDescent="0.2">
      <c r="X34" s="32">
        <f>_xlfn.MAXIFS($U$20:$U34,$T$20:$T34,"H",$U$20:$U34,"&gt;="&amp;LOOKUP(2,1/($T$20:$T34="H")),$V$20:$V34,"&lt;=$"&amp;V34)</f>
        <v>0</v>
      </c>
    </row>
    <row r="35" spans="24:24" x14ac:dyDescent="0.2">
      <c r="X35" s="32">
        <f>_xlfn.MAXIFS($U$20:$U35,$T$20:$T35,"H",$U$20:$U35,"&gt;="&amp;LOOKUP(2,1/($T$20:$T35="H")),$V$20:$V35,"&lt;=$"&amp;V35)</f>
        <v>0</v>
      </c>
    </row>
    <row r="36" spans="24:24" x14ac:dyDescent="0.2">
      <c r="X36" s="32">
        <f>_xlfn.MAXIFS($U$20:$U36,$T$20:$T36,"H",$U$20:$U36,"&gt;="&amp;LOOKUP(2,1/($T$20:$T36="H")),$V$20:$V36,"&lt;=$"&amp;V36)</f>
        <v>0</v>
      </c>
    </row>
    <row r="37" spans="24:24" x14ac:dyDescent="0.2">
      <c r="X37" s="32">
        <f>_xlfn.MAXIFS($U$20:$U37,$T$20:$T37,"H",$U$20:$U37,"&gt;="&amp;LOOKUP(2,1/($T$20:$T37="H")),$V$20:$V37,"&lt;=$"&amp;V37)</f>
        <v>0</v>
      </c>
    </row>
    <row r="38" spans="24:24" x14ac:dyDescent="0.2">
      <c r="X38" s="32">
        <f>_xlfn.MAXIFS($U$20:$U38,$T$20:$T38,"H",$U$20:$U38,"&gt;="&amp;LOOKUP(2,1/($T$20:$T38="H")),$V$20:$V38,"&lt;=$"&amp;V38)</f>
        <v>0</v>
      </c>
    </row>
    <row r="39" spans="24:24" x14ac:dyDescent="0.2">
      <c r="X39" s="32">
        <f>_xlfn.MAXIFS($U$20:$U39,$T$20:$T39,"H",$U$20:$U39,"&gt;="&amp;LOOKUP(2,1/($T$20:$T39="H")),$V$20:$V39,"&lt;=$"&amp;V39)</f>
        <v>0</v>
      </c>
    </row>
    <row r="40" spans="24:24" x14ac:dyDescent="0.2">
      <c r="X40" s="32">
        <f>_xlfn.MAXIFS($U$20:$U40,$T$20:$T40,"H",$U$20:$U40,"&gt;="&amp;LOOKUP(2,1/($T$20:$T40="H")),$V$20:$V40,"&lt;=$"&amp;V40)</f>
        <v>0</v>
      </c>
    </row>
    <row r="41" spans="24:24" x14ac:dyDescent="0.2">
      <c r="X41" s="32">
        <f>_xlfn.MAXIFS($U$20:$U41,$T$20:$T41,"H",$U$20:$U41,"&gt;="&amp;LOOKUP(2,1/($T$20:$T41="H")),$V$20:$V41,"&lt;=$"&amp;V41)</f>
        <v>0</v>
      </c>
    </row>
    <row r="42" spans="24:24" x14ac:dyDescent="0.2">
      <c r="X42" s="32">
        <f>_xlfn.MAXIFS($U$20:$U42,$T$20:$T42,"H",$U$20:$U42,"&gt;="&amp;LOOKUP(2,1/($T$20:$T42="H")),$V$20:$V42,"&lt;=$"&amp;V42)</f>
        <v>0</v>
      </c>
    </row>
    <row r="43" spans="24:24" x14ac:dyDescent="0.2">
      <c r="X43" s="32">
        <f>_xlfn.MAXIFS($U$20:$U43,$T$20:$T43,"H",$U$20:$U43,"&gt;="&amp;LOOKUP(2,1/($T$20:$T43="H")),$V$20:$V43,"&lt;=$"&amp;V43)</f>
        <v>0</v>
      </c>
    </row>
    <row r="44" spans="24:24" x14ac:dyDescent="0.2">
      <c r="X44" s="32">
        <f>_xlfn.MAXIFS($U$20:$U44,$T$20:$T44,"H",$U$20:$U44,"&gt;="&amp;LOOKUP(2,1/($T$20:$T44="H")),$V$20:$V44,"&lt;=$"&amp;V44)</f>
        <v>0</v>
      </c>
    </row>
    <row r="45" spans="24:24" x14ac:dyDescent="0.2">
      <c r="X45" s="32">
        <f>_xlfn.MAXIFS($U$20:$U45,$T$20:$T45,"H",$U$20:$U45,"&gt;="&amp;LOOKUP(2,1/($T$20:$T45="H")),$V$20:$V45,"&lt;=$"&amp;V45)</f>
        <v>0</v>
      </c>
    </row>
    <row r="46" spans="24:24" x14ac:dyDescent="0.2">
      <c r="X46" s="32">
        <f>_xlfn.MAXIFS($U$20:$U46,$T$20:$T46,"H",$U$20:$U46,"&gt;="&amp;LOOKUP(2,1/($T$20:$T46="H")),$V$20:$V46,"&lt;=$"&amp;V46)</f>
        <v>0</v>
      </c>
    </row>
    <row r="47" spans="24:24" x14ac:dyDescent="0.2">
      <c r="X47" s="32">
        <f>_xlfn.MAXIFS($U$20:$U47,$T$20:$T47,"H",$U$20:$U47,"&gt;="&amp;LOOKUP(2,1/($T$20:$T47="H")),$V$20:$V47,"&lt;=$"&amp;V47)</f>
        <v>0</v>
      </c>
    </row>
    <row r="48" spans="24:24" x14ac:dyDescent="0.2">
      <c r="X48" s="32">
        <f>_xlfn.MAXIFS($U$20:$U48,$T$20:$T48,"H",$U$20:$U48,"&gt;="&amp;LOOKUP(2,1/($T$20:$T48="H")),$V$20:$V48,"&lt;=$"&amp;V48)</f>
        <v>0</v>
      </c>
    </row>
    <row r="49" spans="24:24" x14ac:dyDescent="0.2">
      <c r="X49" s="32">
        <f>_xlfn.MAXIFS($U$20:$U49,$T$20:$T49,"H",$U$20:$U49,"&gt;="&amp;LOOKUP(2,1/($T$20:$T49="H")),$V$20:$V49,"&lt;=$"&amp;V49)</f>
        <v>0</v>
      </c>
    </row>
    <row r="50" spans="24:24" x14ac:dyDescent="0.2">
      <c r="X50" s="32">
        <f>_xlfn.MAXIFS($U$20:$U50,$T$20:$T50,"H",$U$20:$U50,"&gt;="&amp;LOOKUP(2,1/($T$20:$T50="H")),$V$20:$V50,"&lt;=$"&amp;V50)</f>
        <v>0</v>
      </c>
    </row>
    <row r="51" spans="24:24" x14ac:dyDescent="0.2">
      <c r="X51" s="32">
        <f>_xlfn.MAXIFS($U$20:$U51,$T$20:$T51,"H",$U$20:$U51,"&gt;="&amp;LOOKUP(2,1/($T$20:$T51="H")),$V$20:$V51,"&lt;=$"&amp;V51)</f>
        <v>0</v>
      </c>
    </row>
    <row r="52" spans="24:24" x14ac:dyDescent="0.2">
      <c r="X52" s="32">
        <f>_xlfn.MAXIFS($U$20:$U52,$T$20:$T52,"H",$U$20:$U52,"&gt;="&amp;LOOKUP(2,1/($T$20:$T52="H")),$V$20:$V52,"&lt;=$"&amp;V52)</f>
        <v>0</v>
      </c>
    </row>
    <row r="53" spans="24:24" x14ac:dyDescent="0.2">
      <c r="X53" s="32">
        <f>_xlfn.MAXIFS($U$20:$U53,$T$20:$T53,"H",$U$20:$U53,"&gt;="&amp;LOOKUP(2,1/($T$20:$T53="H")),$V$20:$V53,"&lt;=$"&amp;V53)</f>
        <v>0</v>
      </c>
    </row>
    <row r="54" spans="24:24" x14ac:dyDescent="0.2">
      <c r="X54" s="32">
        <f>_xlfn.MAXIFS($U$20:$U54,$T$20:$T54,"H",$U$20:$U54,"&gt;="&amp;LOOKUP(2,1/($T$20:$T54="H")),$V$20:$V54,"&lt;=$"&amp;V54)</f>
        <v>0</v>
      </c>
    </row>
    <row r="55" spans="24:24" x14ac:dyDescent="0.2">
      <c r="X55" s="32">
        <f>_xlfn.MAXIFS($U$20:$U55,$T$20:$T55,"H",$U$20:$U55,"&gt;="&amp;LOOKUP(2,1/($T$20:$T55="H")),$V$20:$V55,"&lt;=$"&amp;V55)</f>
        <v>0</v>
      </c>
    </row>
    <row r="56" spans="24:24" x14ac:dyDescent="0.2">
      <c r="X56" s="32">
        <f>_xlfn.MAXIFS($U$20:$U56,$T$20:$T56,"H",$U$20:$U56,"&gt;="&amp;LOOKUP(2,1/($T$20:$T56="H")),$V$20:$V56,"&lt;=$"&amp;V56)</f>
        <v>0</v>
      </c>
    </row>
    <row r="57" spans="24:24" x14ac:dyDescent="0.2">
      <c r="X57" s="32">
        <f>_xlfn.MAXIFS($U$20:$U57,$T$20:$T57,"H",$U$20:$U57,"&gt;="&amp;LOOKUP(2,1/($T$20:$T57="H")),$V$20:$V57,"&lt;=$"&amp;V57)</f>
        <v>0</v>
      </c>
    </row>
    <row r="58" spans="24:24" x14ac:dyDescent="0.2">
      <c r="X58" s="32">
        <f>_xlfn.MAXIFS($U$20:$U58,$T$20:$T58,"H",$U$20:$U58,"&gt;="&amp;LOOKUP(2,1/($T$20:$T58="H")),$V$20:$V58,"&lt;=$"&amp;V58)</f>
        <v>0</v>
      </c>
    </row>
    <row r="59" spans="24:24" x14ac:dyDescent="0.2">
      <c r="X59" s="32">
        <f>_xlfn.MAXIFS($U$20:$U59,$T$20:$T59,"H",$U$20:$U59,"&gt;="&amp;LOOKUP(2,1/($T$20:$T59="H")),$V$20:$V59,"&lt;=$"&amp;V59)</f>
        <v>0</v>
      </c>
    </row>
    <row r="60" spans="24:24" x14ac:dyDescent="0.2">
      <c r="X60" s="32">
        <f>_xlfn.MAXIFS($U$20:$U60,$T$20:$T60,"H",$U$20:$U60,"&gt;="&amp;LOOKUP(2,1/($T$20:$T60="H")),$V$20:$V60,"&lt;=$"&amp;V60)</f>
        <v>0</v>
      </c>
    </row>
    <row r="61" spans="24:24" x14ac:dyDescent="0.2">
      <c r="X61" s="32">
        <f>_xlfn.MAXIFS($U$20:$U61,$T$20:$T61,"H",$U$20:$U61,"&gt;="&amp;LOOKUP(2,1/($T$20:$T61="H")),$V$20:$V61,"&lt;=$"&amp;V61)</f>
        <v>0</v>
      </c>
    </row>
    <row r="62" spans="24:24" x14ac:dyDescent="0.2">
      <c r="X62" s="32">
        <f>_xlfn.MAXIFS($U$20:$U62,$T$20:$T62,"H",$U$20:$U62,"&gt;="&amp;LOOKUP(2,1/($T$20:$T62="H")),$V$20:$V62,"&lt;=$"&amp;V62)</f>
        <v>0</v>
      </c>
    </row>
    <row r="63" spans="24:24" x14ac:dyDescent="0.2">
      <c r="X63" s="32">
        <f>_xlfn.MAXIFS($U$20:$U63,$T$20:$T63,"H",$U$20:$U63,"&gt;="&amp;LOOKUP(2,1/($T$20:$T63="H")),$V$20:$V63,"&lt;=$"&amp;V63)</f>
        <v>0</v>
      </c>
    </row>
    <row r="64" spans="24:24" x14ac:dyDescent="0.2">
      <c r="X64" s="32">
        <f>_xlfn.MAXIFS($U$20:$U64,$T$20:$T64,"H",$U$20:$U64,"&gt;="&amp;LOOKUP(2,1/($T$20:$T64="H")),$V$20:$V64,"&lt;=$"&amp;V64)</f>
        <v>0</v>
      </c>
    </row>
    <row r="65" spans="24:24" x14ac:dyDescent="0.2">
      <c r="X65" s="32">
        <f>_xlfn.MAXIFS($U$20:$U65,$T$20:$T65,"H",$U$20:$U65,"&gt;="&amp;LOOKUP(2,1/($T$20:$T65="H")),$V$20:$V65,"&lt;=$"&amp;V65)</f>
        <v>0</v>
      </c>
    </row>
    <row r="66" spans="24:24" x14ac:dyDescent="0.2">
      <c r="X66" s="32">
        <f>_xlfn.MAXIFS($U$20:$U66,$T$20:$T66,"H",$U$20:$U66,"&gt;="&amp;LOOKUP(2,1/($T$20:$T66="H")),$V$20:$V66,"&lt;=$"&amp;V66)</f>
        <v>0</v>
      </c>
    </row>
    <row r="67" spans="24:24" x14ac:dyDescent="0.2">
      <c r="X67" s="32">
        <f>_xlfn.MAXIFS($U$20:$U67,$T$20:$T67,"H",$U$20:$U67,"&gt;="&amp;LOOKUP(2,1/($T$20:$T67="H")),$V$20:$V67,"&lt;=$"&amp;V67)</f>
        <v>0</v>
      </c>
    </row>
    <row r="68" spans="24:24" x14ac:dyDescent="0.2">
      <c r="X68" s="32">
        <f>_xlfn.MAXIFS($U$20:$U68,$T$20:$T68,"H",$U$20:$U68,"&gt;="&amp;LOOKUP(2,1/($T$20:$T68="H")),$V$20:$V68,"&lt;=$"&amp;V68)</f>
        <v>0</v>
      </c>
    </row>
    <row r="69" spans="24:24" x14ac:dyDescent="0.2">
      <c r="X69" s="32">
        <f>_xlfn.MAXIFS($U$20:$U69,$T$20:$T69,"H",$U$20:$U69,"&gt;="&amp;LOOKUP(2,1/($T$20:$T69="H")),$V$20:$V69,"&lt;=$"&amp;V69)</f>
        <v>0</v>
      </c>
    </row>
    <row r="70" spans="24:24" x14ac:dyDescent="0.2">
      <c r="X70" s="32">
        <f>_xlfn.MAXIFS($U$20:$U70,$T$20:$T70,"H",$U$20:$U70,"&gt;="&amp;LOOKUP(2,1/($T$20:$T70="H")),$V$20:$V70,"&lt;=$"&amp;V70)</f>
        <v>0</v>
      </c>
    </row>
    <row r="71" spans="24:24" x14ac:dyDescent="0.2">
      <c r="X71" s="32">
        <f>_xlfn.MAXIFS($U$20:$U71,$T$20:$T71,"H",$U$20:$U71,"&gt;="&amp;LOOKUP(2,1/($T$20:$T71="H")),$V$20:$V71,"&lt;=$"&amp;V71)</f>
        <v>0</v>
      </c>
    </row>
    <row r="72" spans="24:24" x14ac:dyDescent="0.2">
      <c r="X72" s="32">
        <f>_xlfn.MAXIFS($U$20:$U72,$T$20:$T72,"H",$U$20:$U72,"&gt;="&amp;LOOKUP(2,1/($T$20:$T72="H")),$V$20:$V72,"&lt;=$"&amp;V72)</f>
        <v>0</v>
      </c>
    </row>
    <row r="73" spans="24:24" x14ac:dyDescent="0.2">
      <c r="X73" s="32">
        <f>_xlfn.MAXIFS($U$20:$U73,$T$20:$T73,"H",$U$20:$U73,"&gt;="&amp;LOOKUP(2,1/($T$20:$T73="H")),$V$20:$V73,"&lt;=$"&amp;V73)</f>
        <v>0</v>
      </c>
    </row>
    <row r="74" spans="24:24" x14ac:dyDescent="0.2">
      <c r="X74" s="32">
        <f>_xlfn.MAXIFS($U$20:$U74,$T$20:$T74,"H",$U$20:$U74,"&gt;="&amp;LOOKUP(2,1/($T$20:$T74="H")),$V$20:$V74,"&lt;=$"&amp;V74)</f>
        <v>0</v>
      </c>
    </row>
    <row r="75" spans="24:24" x14ac:dyDescent="0.2">
      <c r="X75" s="32">
        <f>_xlfn.MAXIFS($U$20:$U75,$T$20:$T75,"H",$U$20:$U75,"&gt;="&amp;LOOKUP(2,1/($T$20:$T75="H")),$V$20:$V75,"&lt;=$"&amp;V75)</f>
        <v>0</v>
      </c>
    </row>
    <row r="76" spans="24:24" x14ac:dyDescent="0.2">
      <c r="X76" s="32">
        <f>_xlfn.MAXIFS($U$20:$U76,$T$20:$T76,"H",$U$20:$U76,"&gt;="&amp;LOOKUP(2,1/($T$20:$T76="H")),$V$20:$V76,"&lt;=$"&amp;V76)</f>
        <v>0</v>
      </c>
    </row>
    <row r="77" spans="24:24" x14ac:dyDescent="0.2">
      <c r="X77" s="32">
        <f>_xlfn.MAXIFS($U$20:$U77,$T$20:$T77,"H",$U$20:$U77,"&gt;="&amp;LOOKUP(2,1/($T$20:$T77="H")),$V$20:$V77,"&lt;=$"&amp;V77)</f>
        <v>0</v>
      </c>
    </row>
    <row r="78" spans="24:24" x14ac:dyDescent="0.2">
      <c r="X78" s="32">
        <f>_xlfn.MAXIFS($U$20:$U78,$T$20:$T78,"H",$U$20:$U78,"&gt;="&amp;LOOKUP(2,1/($T$20:$T78="H")),$V$20:$V78,"&lt;=$"&amp;V78)</f>
        <v>0</v>
      </c>
    </row>
    <row r="79" spans="24:24" x14ac:dyDescent="0.2">
      <c r="X79" s="32">
        <f>_xlfn.MAXIFS($U$20:$U79,$T$20:$T79,"H",$U$20:$U79,"&gt;="&amp;LOOKUP(2,1/($T$20:$T79="H")),$V$20:$V79,"&lt;=$"&amp;V79)</f>
        <v>0</v>
      </c>
    </row>
    <row r="80" spans="24:24" x14ac:dyDescent="0.2">
      <c r="X80" s="32">
        <f>_xlfn.MAXIFS($U$20:$U80,$T$20:$T80,"H",$U$20:$U80,"&gt;="&amp;LOOKUP(2,1/($T$20:$T80="H")),$V$20:$V80,"&lt;=$"&amp;V80)</f>
        <v>0</v>
      </c>
    </row>
    <row r="81" spans="24:24" x14ac:dyDescent="0.2">
      <c r="X81" s="32">
        <f>_xlfn.MAXIFS($U$20:$U81,$T$20:$T81,"H",$U$20:$U81,"&gt;="&amp;LOOKUP(2,1/($T$20:$T81="H")),$V$20:$V81,"&lt;=$"&amp;V81)</f>
        <v>0</v>
      </c>
    </row>
    <row r="82" spans="24:24" x14ac:dyDescent="0.2">
      <c r="X82" s="32">
        <f>_xlfn.MAXIFS($U$20:$U82,$T$20:$T82,"H",$U$20:$U82,"&gt;="&amp;LOOKUP(2,1/($T$20:$T82="H")),$V$20:$V82,"&lt;=$"&amp;V82)</f>
        <v>0</v>
      </c>
    </row>
    <row r="83" spans="24:24" x14ac:dyDescent="0.2">
      <c r="X83" s="32">
        <f>_xlfn.MAXIFS($U$20:$U83,$T$20:$T83,"H",$U$20:$U83,"&gt;="&amp;LOOKUP(2,1/($T$20:$T83="H")),$V$20:$V83,"&lt;=$"&amp;V83)</f>
        <v>0</v>
      </c>
    </row>
    <row r="84" spans="24:24" x14ac:dyDescent="0.2">
      <c r="X84" s="32">
        <f>_xlfn.MAXIFS($U$20:$U84,$T$20:$T84,"H",$U$20:$U84,"&gt;="&amp;LOOKUP(2,1/($T$20:$T84="H")),$V$20:$V84,"&lt;=$"&amp;V84)</f>
        <v>0</v>
      </c>
    </row>
    <row r="85" spans="24:24" x14ac:dyDescent="0.2">
      <c r="X85" s="32">
        <f>_xlfn.MAXIFS($U$20:$U85,$T$20:$T85,"H",$U$20:$U85,"&gt;="&amp;LOOKUP(2,1/($T$20:$T85="H")),$V$20:$V85,"&lt;=$"&amp;V85)</f>
        <v>0</v>
      </c>
    </row>
    <row r="86" spans="24:24" x14ac:dyDescent="0.2">
      <c r="X86" s="32">
        <f>_xlfn.MAXIFS($U$20:$U86,$T$20:$T86,"H",$U$20:$U86,"&gt;="&amp;LOOKUP(2,1/($T$20:$T86="H")),$V$20:$V86,"&lt;=$"&amp;V86)</f>
        <v>0</v>
      </c>
    </row>
    <row r="87" spans="24:24" x14ac:dyDescent="0.2">
      <c r="X87" s="32">
        <f>_xlfn.MAXIFS($U$20:$U87,$T$20:$T87,"H",$U$20:$U87,"&gt;="&amp;LOOKUP(2,1/($T$20:$T87="H")),$V$20:$V87,"&lt;=$"&amp;V87)</f>
        <v>0</v>
      </c>
    </row>
    <row r="88" spans="24:24" x14ac:dyDescent="0.2">
      <c r="X88" s="32">
        <f>_xlfn.MAXIFS($U$20:$U88,$T$20:$T88,"H",$U$20:$U88,"&gt;="&amp;LOOKUP(2,1/($T$20:$T88="H")),$V$20:$V88,"&lt;=$"&amp;V88)</f>
        <v>0</v>
      </c>
    </row>
    <row r="89" spans="24:24" x14ac:dyDescent="0.2">
      <c r="X89" s="32">
        <f>_xlfn.MAXIFS($U$20:$U89,$T$20:$T89,"H",$U$20:$U89,"&gt;="&amp;LOOKUP(2,1/($T$20:$T89="H")),$V$20:$V89,"&lt;=$"&amp;V89)</f>
        <v>0</v>
      </c>
    </row>
    <row r="90" spans="24:24" x14ac:dyDescent="0.2">
      <c r="X90" s="32">
        <f>_xlfn.MAXIFS($U$20:$U90,$T$20:$T90,"H",$U$20:$U90,"&gt;="&amp;LOOKUP(2,1/($T$20:$T90="H")),$V$20:$V90,"&lt;=$"&amp;V90)</f>
        <v>0</v>
      </c>
    </row>
    <row r="91" spans="24:24" x14ac:dyDescent="0.2">
      <c r="X91" s="32">
        <f>_xlfn.MAXIFS($U$20:$U91,$T$20:$T91,"H",$U$20:$U91,"&gt;="&amp;LOOKUP(2,1/($T$20:$T91="H")),$V$20:$V91,"&lt;=$"&amp;V91)</f>
        <v>0</v>
      </c>
    </row>
    <row r="92" spans="24:24" x14ac:dyDescent="0.2">
      <c r="X92" s="32">
        <f>_xlfn.MAXIFS($U$20:$U92,$T$20:$T92,"H",$U$20:$U92,"&gt;="&amp;LOOKUP(2,1/($T$20:$T92="H")),$V$20:$V92,"&lt;=$"&amp;V92)</f>
        <v>0</v>
      </c>
    </row>
    <row r="93" spans="24:24" x14ac:dyDescent="0.2">
      <c r="X93" s="32">
        <f>_xlfn.MAXIFS($U$20:$U93,$T$20:$T93,"H",$U$20:$U93,"&gt;="&amp;LOOKUP(2,1/($T$20:$T93="H")),$V$20:$V93,"&lt;=$"&amp;V93)</f>
        <v>0</v>
      </c>
    </row>
    <row r="94" spans="24:24" x14ac:dyDescent="0.2">
      <c r="X94" s="32">
        <f>_xlfn.MAXIFS($U$20:$U94,$T$20:$T94,"H",$U$20:$U94,"&gt;="&amp;LOOKUP(2,1/($T$20:$T94="H")),$V$20:$V94,"&lt;=$"&amp;V94)</f>
        <v>0</v>
      </c>
    </row>
    <row r="95" spans="24:24" x14ac:dyDescent="0.2">
      <c r="X95" s="32">
        <f>_xlfn.MAXIFS($U$20:$U95,$T$20:$T95,"H",$U$20:$U95,"&gt;="&amp;LOOKUP(2,1/($T$20:$T95="H")),$V$20:$V95,"&lt;=$"&amp;V95)</f>
        <v>0</v>
      </c>
    </row>
    <row r="96" spans="24:24" x14ac:dyDescent="0.2">
      <c r="X96" s="32">
        <f>_xlfn.MAXIFS($U$20:$U96,$T$20:$T96,"H",$U$20:$U96,"&gt;="&amp;LOOKUP(2,1/($T$20:$T96="H")),$V$20:$V96,"&lt;=$"&amp;V96)</f>
        <v>0</v>
      </c>
    </row>
    <row r="97" spans="24:24" x14ac:dyDescent="0.2">
      <c r="X97" s="32">
        <f>_xlfn.MAXIFS($U$20:$U97,$T$20:$T97,"H",$U$20:$U97,"&gt;="&amp;LOOKUP(2,1/($T$20:$T97="H")),$V$20:$V97,"&lt;=$"&amp;V97)</f>
        <v>0</v>
      </c>
    </row>
    <row r="98" spans="24:24" x14ac:dyDescent="0.2">
      <c r="X98" s="32">
        <f>_xlfn.MAXIFS($U$20:$U98,$T$20:$T98,"H",$U$20:$U98,"&gt;="&amp;LOOKUP(2,1/($T$20:$T98="H")),$V$20:$V98,"&lt;=$"&amp;V98)</f>
        <v>0</v>
      </c>
    </row>
    <row r="99" spans="24:24" x14ac:dyDescent="0.2">
      <c r="X99" s="32">
        <f>_xlfn.MAXIFS($U$20:$U99,$T$20:$T99,"H",$U$20:$U99,"&gt;="&amp;LOOKUP(2,1/($T$20:$T99="H")),$V$20:$V99,"&lt;=$"&amp;V99)</f>
        <v>0</v>
      </c>
    </row>
    <row r="100" spans="24:24" x14ac:dyDescent="0.2">
      <c r="X100" s="32">
        <f>_xlfn.MAXIFS($U$20:$U100,$T$20:$T100,"H",$U$20:$U100,"&gt;="&amp;LOOKUP(2,1/($T$20:$T100="H")),$V$20:$V100,"&lt;=$"&amp;V100)</f>
        <v>0</v>
      </c>
    </row>
    <row r="101" spans="24:24" x14ac:dyDescent="0.2">
      <c r="X101" s="32">
        <f>_xlfn.MAXIFS($U$20:$U101,$T$20:$T101,"H",$U$20:$U101,"&gt;="&amp;LOOKUP(2,1/($T$20:$T101="H")),$V$20:$V101,"&lt;=$"&amp;V101)</f>
        <v>0</v>
      </c>
    </row>
    <row r="102" spans="24:24" x14ac:dyDescent="0.2">
      <c r="X102" s="32">
        <f>_xlfn.MAXIFS($U$20:$U102,$T$20:$T102,"H",$U$20:$U102,"&gt;="&amp;LOOKUP(2,1/($T$20:$T102="H")),$V$20:$V102,"&lt;=$"&amp;V102)</f>
        <v>0</v>
      </c>
    </row>
    <row r="103" spans="24:24" x14ac:dyDescent="0.2">
      <c r="X103" s="32">
        <f>_xlfn.MAXIFS($U$20:$U103,$T$20:$T103,"H",$U$20:$U103,"&gt;="&amp;LOOKUP(2,1/($T$20:$T103="H")),$V$20:$V103,"&lt;=$"&amp;V103)</f>
        <v>0</v>
      </c>
    </row>
    <row r="104" spans="24:24" x14ac:dyDescent="0.2">
      <c r="X104" s="32">
        <f>_xlfn.MAXIFS($U$20:$U104,$T$20:$T104,"H",$U$20:$U104,"&gt;="&amp;LOOKUP(2,1/($T$20:$T104="H")),$V$20:$V104,"&lt;=$"&amp;V104)</f>
        <v>0</v>
      </c>
    </row>
    <row r="105" spans="24:24" x14ac:dyDescent="0.2">
      <c r="X105" s="32">
        <f>_xlfn.MAXIFS($U$20:$U105,$T$20:$T105,"H",$U$20:$U105,"&gt;="&amp;LOOKUP(2,1/($T$20:$T105="H")),$V$20:$V105,"&lt;=$"&amp;V105)</f>
        <v>0</v>
      </c>
    </row>
    <row r="106" spans="24:24" x14ac:dyDescent="0.2">
      <c r="X106" s="32">
        <f>_xlfn.MAXIFS($U$20:$U106,$T$20:$T106,"H",$U$20:$U106,"&gt;="&amp;LOOKUP(2,1/($T$20:$T106="H")),$V$20:$V106,"&lt;=$"&amp;V106)</f>
        <v>0</v>
      </c>
    </row>
    <row r="107" spans="24:24" x14ac:dyDescent="0.2">
      <c r="X107" s="32">
        <f>_xlfn.MAXIFS($U$20:$U107,$T$20:$T107,"H",$U$20:$U107,"&gt;="&amp;LOOKUP(2,1/($T$20:$T107="H")),$V$20:$V107,"&lt;=$"&amp;V107)</f>
        <v>0</v>
      </c>
    </row>
    <row r="108" spans="24:24" x14ac:dyDescent="0.2">
      <c r="X108" s="32">
        <f>_xlfn.MAXIFS($U$20:$U108,$T$20:$T108,"H",$U$20:$U108,"&gt;="&amp;LOOKUP(2,1/($T$20:$T108="H")),$V$20:$V108,"&lt;=$"&amp;V108)</f>
        <v>0</v>
      </c>
    </row>
    <row r="109" spans="24:24" x14ac:dyDescent="0.2">
      <c r="X109" s="32">
        <f>_xlfn.MAXIFS($U$20:$U109,$T$20:$T109,"H",$U$20:$U109,"&gt;="&amp;LOOKUP(2,1/($T$20:$T109="H")),$V$20:$V109,"&lt;=$"&amp;V109)</f>
        <v>0</v>
      </c>
    </row>
    <row r="110" spans="24:24" x14ac:dyDescent="0.2">
      <c r="X110" s="32">
        <f>_xlfn.MAXIFS($U$20:$U110,$T$20:$T110,"H",$U$20:$U110,"&gt;="&amp;LOOKUP(2,1/($T$20:$T110="H")),$V$20:$V110,"&lt;=$"&amp;V110)</f>
        <v>0</v>
      </c>
    </row>
    <row r="111" spans="24:24" x14ac:dyDescent="0.2">
      <c r="X111" s="32">
        <f>_xlfn.MAXIFS($U$20:$U111,$T$20:$T111,"H",$U$20:$U111,"&gt;="&amp;LOOKUP(2,1/($T$20:$T111="H")),$V$20:$V111,"&lt;=$"&amp;V111)</f>
        <v>0</v>
      </c>
    </row>
    <row r="112" spans="24:24" x14ac:dyDescent="0.2">
      <c r="X112" s="32">
        <f>_xlfn.MAXIFS($U$20:$U112,$T$20:$T112,"H",$U$20:$U112,"&gt;="&amp;LOOKUP(2,1/($T$20:$T112="H")),$V$20:$V112,"&lt;=$"&amp;V112)</f>
        <v>0</v>
      </c>
    </row>
    <row r="113" spans="24:24" x14ac:dyDescent="0.2">
      <c r="X113" s="32">
        <f>_xlfn.MAXIFS($U$20:$U113,$T$20:$T113,"H",$U$20:$U113,"&gt;="&amp;LOOKUP(2,1/($T$20:$T113="H")),$V$20:$V113,"&lt;=$"&amp;V113)</f>
        <v>0</v>
      </c>
    </row>
    <row r="114" spans="24:24" x14ac:dyDescent="0.2">
      <c r="X114" s="32">
        <f>_xlfn.MAXIFS($U$20:$U114,$T$20:$T114,"H",$U$20:$U114,"&gt;="&amp;LOOKUP(2,1/($T$20:$T114="H")),$V$20:$V114,"&lt;=$"&amp;V114)</f>
        <v>0</v>
      </c>
    </row>
    <row r="115" spans="24:24" x14ac:dyDescent="0.2">
      <c r="X115" s="32">
        <f>_xlfn.MAXIFS($U$20:$U115,$T$20:$T115,"H",$U$20:$U115,"&gt;="&amp;LOOKUP(2,1/($T$20:$T115="H")),$V$20:$V115,"&lt;=$"&amp;V115)</f>
        <v>0</v>
      </c>
    </row>
    <row r="116" spans="24:24" x14ac:dyDescent="0.2">
      <c r="X116" s="32">
        <f>_xlfn.MAXIFS($U$20:$U116,$T$20:$T116,"H",$U$20:$U116,"&gt;="&amp;LOOKUP(2,1/($T$20:$T116="H")),$V$20:$V116,"&lt;=$"&amp;V116)</f>
        <v>0</v>
      </c>
    </row>
    <row r="117" spans="24:24" x14ac:dyDescent="0.2">
      <c r="X117" s="32">
        <f>_xlfn.MAXIFS($U$20:$U117,$T$20:$T117,"H",$U$20:$U117,"&gt;="&amp;LOOKUP(2,1/($T$20:$T117="H")),$V$20:$V117,"&lt;=$"&amp;V117)</f>
        <v>0</v>
      </c>
    </row>
    <row r="118" spans="24:24" x14ac:dyDescent="0.2">
      <c r="X118" s="32">
        <f>_xlfn.MAXIFS($U$20:$U118,$T$20:$T118,"H",$U$20:$U118,"&gt;="&amp;LOOKUP(2,1/($T$20:$T118="H")),$V$20:$V118,"&lt;=$"&amp;V118)</f>
        <v>0</v>
      </c>
    </row>
    <row r="119" spans="24:24" x14ac:dyDescent="0.2">
      <c r="X119" s="32">
        <f>_xlfn.MAXIFS($U$20:$U119,$T$20:$T119,"H",$U$20:$U119,"&gt;="&amp;LOOKUP(2,1/($T$20:$T119="H")),$V$20:$V119,"&lt;=$"&amp;V119)</f>
        <v>0</v>
      </c>
    </row>
    <row r="120" spans="24:24" x14ac:dyDescent="0.2">
      <c r="X120" s="32">
        <f>_xlfn.MAXIFS($U$20:$U120,$T$20:$T120,"H",$U$20:$U120,"&gt;="&amp;LOOKUP(2,1/($T$20:$T120="H")),$V$20:$V120,"&lt;=$"&amp;V120)</f>
        <v>0</v>
      </c>
    </row>
    <row r="121" spans="24:24" x14ac:dyDescent="0.2">
      <c r="X121" s="32">
        <f>_xlfn.MAXIFS($U$20:$U121,$T$20:$T121,"H",$U$20:$U121,"&gt;="&amp;LOOKUP(2,1/($T$20:$T121="H")),$V$20:$V121,"&lt;=$"&amp;V121)</f>
        <v>0</v>
      </c>
    </row>
    <row r="122" spans="24:24" x14ac:dyDescent="0.2">
      <c r="X122" s="32">
        <f>_xlfn.MAXIFS($U$20:$U122,$T$20:$T122,"H",$U$20:$U122,"&gt;="&amp;LOOKUP(2,1/($T$20:$T122="H")),$V$20:$V122,"&lt;=$"&amp;V122)</f>
        <v>0</v>
      </c>
    </row>
    <row r="123" spans="24:24" x14ac:dyDescent="0.2">
      <c r="X123" s="32">
        <f>_xlfn.MAXIFS($U$20:$U123,$T$20:$T123,"H",$U$20:$U123,"&gt;="&amp;LOOKUP(2,1/($T$20:$T123="H")),$V$20:$V123,"&lt;=$"&amp;V123)</f>
        <v>0</v>
      </c>
    </row>
    <row r="124" spans="24:24" x14ac:dyDescent="0.2">
      <c r="X124" s="32">
        <f>_xlfn.MAXIFS($U$20:$U124,$T$20:$T124,"H",$U$20:$U124,"&gt;="&amp;LOOKUP(2,1/($T$20:$T124="H")),$V$20:$V124,"&lt;=$"&amp;V124)</f>
        <v>0</v>
      </c>
    </row>
    <row r="125" spans="24:24" x14ac:dyDescent="0.2">
      <c r="X125" s="32">
        <f>_xlfn.MAXIFS($U$20:$U125,$T$20:$T125,"H",$U$20:$U125,"&gt;="&amp;LOOKUP(2,1/($T$20:$T125="H")),$V$20:$V125,"&lt;=$"&amp;V125)</f>
        <v>0</v>
      </c>
    </row>
    <row r="126" spans="24:24" x14ac:dyDescent="0.2">
      <c r="X126" s="32">
        <f>_xlfn.MAXIFS($U$20:$U126,$T$20:$T126,"H",$U$20:$U126,"&gt;="&amp;LOOKUP(2,1/($T$20:$T126="H")),$V$20:$V126,"&lt;=$"&amp;V126)</f>
        <v>0</v>
      </c>
    </row>
    <row r="127" spans="24:24" x14ac:dyDescent="0.2">
      <c r="X127" s="32">
        <f>_xlfn.MAXIFS($U$20:$U127,$T$20:$T127,"H",$U$20:$U127,"&gt;="&amp;LOOKUP(2,1/($T$20:$T127="H")),$V$20:$V127,"&lt;=$"&amp;V127)</f>
        <v>0</v>
      </c>
    </row>
    <row r="128" spans="24:24" x14ac:dyDescent="0.2">
      <c r="X128" s="32">
        <f>_xlfn.MAXIFS($U$20:$U128,$T$20:$T128,"H",$U$20:$U128,"&gt;="&amp;LOOKUP(2,1/($T$20:$T128="H")),$V$20:$V128,"&lt;=$"&amp;V128)</f>
        <v>0</v>
      </c>
    </row>
    <row r="129" spans="24:24" x14ac:dyDescent="0.2">
      <c r="X129" s="32">
        <f>_xlfn.MAXIFS($U$20:$U129,$T$20:$T129,"H",$U$20:$U129,"&gt;="&amp;LOOKUP(2,1/($T$20:$T129="H")),$V$20:$V129,"&lt;=$"&amp;V129)</f>
        <v>0</v>
      </c>
    </row>
    <row r="130" spans="24:24" x14ac:dyDescent="0.2">
      <c r="X130" s="32">
        <f>_xlfn.MAXIFS($U$20:$U130,$T$20:$T130,"H",$U$20:$U130,"&gt;="&amp;LOOKUP(2,1/($T$20:$T130="H")),$V$20:$V130,"&lt;=$"&amp;V130)</f>
        <v>0</v>
      </c>
    </row>
    <row r="131" spans="24:24" x14ac:dyDescent="0.2">
      <c r="X131" s="32">
        <f>_xlfn.MAXIFS($U$20:$U131,$T$20:$T131,"H",$U$20:$U131,"&gt;="&amp;LOOKUP(2,1/($T$20:$T131="H")),$V$20:$V131,"&lt;=$"&amp;V131)</f>
        <v>0</v>
      </c>
    </row>
    <row r="132" spans="24:24" x14ac:dyDescent="0.2">
      <c r="X132" s="32">
        <f>_xlfn.MAXIFS($U$20:$U132,$T$20:$T132,"H",$U$20:$U132,"&gt;="&amp;LOOKUP(2,1/($T$20:$T132="H")),$V$20:$V132,"&lt;=$"&amp;V132)</f>
        <v>0</v>
      </c>
    </row>
    <row r="133" spans="24:24" x14ac:dyDescent="0.2">
      <c r="X133" s="32">
        <f>_xlfn.MAXIFS($U$20:$U133,$T$20:$T133,"H",$U$20:$U133,"&gt;="&amp;LOOKUP(2,1/($T$20:$T133="H")),$V$20:$V133,"&lt;=$"&amp;V133)</f>
        <v>0</v>
      </c>
    </row>
    <row r="134" spans="24:24" x14ac:dyDescent="0.2">
      <c r="X134" s="32">
        <f>_xlfn.MAXIFS($U$20:$U134,$T$20:$T134,"H",$U$20:$U134,"&gt;="&amp;LOOKUP(2,1/($T$20:$T134="H")),$V$20:$V134,"&lt;=$"&amp;V134)</f>
        <v>0</v>
      </c>
    </row>
    <row r="135" spans="24:24" x14ac:dyDescent="0.2">
      <c r="X135" s="32">
        <f>_xlfn.MAXIFS($U$20:$U135,$T$20:$T135,"H",$U$20:$U135,"&gt;="&amp;LOOKUP(2,1/($T$20:$T135="H")),$V$20:$V135,"&lt;=$"&amp;V135)</f>
        <v>0</v>
      </c>
    </row>
    <row r="136" spans="24:24" x14ac:dyDescent="0.2">
      <c r="X136" s="32">
        <f>_xlfn.MAXIFS($U$20:$U136,$T$20:$T136,"H",$U$20:$U136,"&gt;="&amp;LOOKUP(2,1/($T$20:$T136="H")),$V$20:$V136,"&lt;=$"&amp;V136)</f>
        <v>0</v>
      </c>
    </row>
    <row r="137" spans="24:24" x14ac:dyDescent="0.2">
      <c r="X137" s="32">
        <f>_xlfn.MAXIFS($U$20:$U137,$T$20:$T137,"H",$U$20:$U137,"&gt;="&amp;LOOKUP(2,1/($T$20:$T137="H")),$V$20:$V137,"&lt;=$"&amp;V137)</f>
        <v>0</v>
      </c>
    </row>
    <row r="138" spans="24:24" x14ac:dyDescent="0.2">
      <c r="X138" s="32">
        <f>_xlfn.MAXIFS($U$20:$U138,$T$20:$T138,"H",$U$20:$U138,"&gt;="&amp;LOOKUP(2,1/($T$20:$T138="H")),$V$20:$V138,"&lt;=$"&amp;V138)</f>
        <v>0</v>
      </c>
    </row>
    <row r="139" spans="24:24" x14ac:dyDescent="0.2">
      <c r="X139" s="32">
        <f>_xlfn.MAXIFS($U$20:$U139,$T$20:$T139,"H",$U$20:$U139,"&gt;="&amp;LOOKUP(2,1/($T$20:$T139="H")),$V$20:$V139,"&lt;=$"&amp;V139)</f>
        <v>0</v>
      </c>
    </row>
    <row r="140" spans="24:24" x14ac:dyDescent="0.2">
      <c r="X140" s="32">
        <f>_xlfn.MAXIFS($U$20:$U140,$T$20:$T140,"H",$U$20:$U140,"&gt;="&amp;LOOKUP(2,1/($T$20:$T140="H")),$V$20:$V140,"&lt;=$"&amp;V140)</f>
        <v>0</v>
      </c>
    </row>
    <row r="141" spans="24:24" x14ac:dyDescent="0.2">
      <c r="X141" s="32">
        <f>_xlfn.MAXIFS($U$20:$U141,$T$20:$T141,"H",$U$20:$U141,"&gt;="&amp;LOOKUP(2,1/($T$20:$T141="H")),$V$20:$V141,"&lt;=$"&amp;V141)</f>
        <v>0</v>
      </c>
    </row>
    <row r="142" spans="24:24" x14ac:dyDescent="0.2">
      <c r="X142" s="32">
        <f>_xlfn.MAXIFS($U$20:$U142,$T$20:$T142,"H",$U$20:$U142,"&gt;="&amp;LOOKUP(2,1/($T$20:$T142="H")),$V$20:$V142,"&lt;=$"&amp;V142)</f>
        <v>0</v>
      </c>
    </row>
    <row r="143" spans="24:24" x14ac:dyDescent="0.2">
      <c r="X143" s="32">
        <f>_xlfn.MAXIFS($U$20:$U143,$T$20:$T143,"H",$U$20:$U143,"&gt;="&amp;LOOKUP(2,1/($T$20:$T143="H")),$V$20:$V143,"&lt;=$"&amp;V143)</f>
        <v>0</v>
      </c>
    </row>
    <row r="144" spans="24:24" x14ac:dyDescent="0.2">
      <c r="X144" s="32">
        <f>_xlfn.MAXIFS($U$20:$U144,$T$20:$T144,"H",$U$20:$U144,"&gt;="&amp;LOOKUP(2,1/($T$20:$T144="H")),$V$20:$V144,"&lt;=$"&amp;V144)</f>
        <v>0</v>
      </c>
    </row>
    <row r="145" spans="24:24" x14ac:dyDescent="0.2">
      <c r="X145" s="32">
        <f>_xlfn.MAXIFS($U$20:$U145,$T$20:$T145,"H",$U$20:$U145,"&gt;="&amp;LOOKUP(2,1/($T$20:$T145="H")),$V$20:$V145,"&lt;=$"&amp;V145)</f>
        <v>0</v>
      </c>
    </row>
    <row r="146" spans="24:24" x14ac:dyDescent="0.2">
      <c r="X146" s="32">
        <f>_xlfn.MAXIFS($U$20:$U146,$T$20:$T146,"H",$U$20:$U146,"&gt;="&amp;LOOKUP(2,1/($T$20:$T146="H")),$V$20:$V146,"&lt;=$"&amp;V146)</f>
        <v>0</v>
      </c>
    </row>
    <row r="147" spans="24:24" x14ac:dyDescent="0.2">
      <c r="X147" s="32">
        <f>_xlfn.MAXIFS($U$20:$U147,$T$20:$T147,"H",$U$20:$U147,"&gt;="&amp;LOOKUP(2,1/($T$20:$T147="H")),$V$20:$V147,"&lt;=$"&amp;V147)</f>
        <v>0</v>
      </c>
    </row>
    <row r="148" spans="24:24" x14ac:dyDescent="0.2">
      <c r="X148" s="32">
        <f>_xlfn.MAXIFS($U$20:$U148,$T$20:$T148,"H",$U$20:$U148,"&gt;="&amp;LOOKUP(2,1/($T$20:$T148="H")),$V$20:$V148,"&lt;=$"&amp;V148)</f>
        <v>0</v>
      </c>
    </row>
    <row r="149" spans="24:24" x14ac:dyDescent="0.2">
      <c r="X149" s="32">
        <f>_xlfn.MAXIFS($U$20:$U149,$T$20:$T149,"H",$U$20:$U149,"&gt;="&amp;LOOKUP(2,1/($T$20:$T149="H")),$V$20:$V149,"&lt;=$"&amp;V149)</f>
        <v>0</v>
      </c>
    </row>
    <row r="150" spans="24:24" x14ac:dyDescent="0.2">
      <c r="X150" s="32">
        <f>_xlfn.MAXIFS($U$20:$U150,$T$20:$T150,"H",$U$20:$U150,"&gt;="&amp;LOOKUP(2,1/($T$20:$T150="H")),$V$20:$V150,"&lt;=$"&amp;V150)</f>
        <v>0</v>
      </c>
    </row>
    <row r="151" spans="24:24" x14ac:dyDescent="0.2">
      <c r="X151" s="32">
        <f>_xlfn.MAXIFS($U$20:$U151,$T$20:$T151,"H",$U$20:$U151,"&gt;="&amp;LOOKUP(2,1/($T$20:$T151="H")),$V$20:$V151,"&lt;=$"&amp;V151)</f>
        <v>0</v>
      </c>
    </row>
    <row r="152" spans="24:24" x14ac:dyDescent="0.2">
      <c r="X152" s="32">
        <f>_xlfn.MAXIFS($U$20:$U152,$T$20:$T152,"H",$U$20:$U152,"&gt;="&amp;LOOKUP(2,1/($T$20:$T152="H")),$V$20:$V152,"&lt;=$"&amp;V152)</f>
        <v>0</v>
      </c>
    </row>
    <row r="153" spans="24:24" x14ac:dyDescent="0.2">
      <c r="X153" s="32">
        <f>_xlfn.MAXIFS($U$20:$U153,$T$20:$T153,"H",$U$20:$U153,"&gt;="&amp;LOOKUP(2,1/($T$20:$T153="H")),$V$20:$V153,"&lt;=$"&amp;V153)</f>
        <v>0</v>
      </c>
    </row>
    <row r="154" spans="24:24" x14ac:dyDescent="0.2">
      <c r="X154" s="32">
        <f>_xlfn.MAXIFS($U$20:$U154,$T$20:$T154,"H",$U$20:$U154,"&gt;="&amp;LOOKUP(2,1/($T$20:$T154="H")),$V$20:$V154,"&lt;=$"&amp;V154)</f>
        <v>0</v>
      </c>
    </row>
    <row r="155" spans="24:24" x14ac:dyDescent="0.2">
      <c r="X155" s="32">
        <f>_xlfn.MAXIFS($U$20:$U155,$T$20:$T155,"H",$U$20:$U155,"&gt;="&amp;LOOKUP(2,1/($T$20:$T155="H")),$V$20:$V155,"&lt;=$"&amp;V155)</f>
        <v>0</v>
      </c>
    </row>
    <row r="156" spans="24:24" x14ac:dyDescent="0.2">
      <c r="X156" s="32">
        <f>_xlfn.MAXIFS($U$20:$U156,$T$20:$T156,"H",$U$20:$U156,"&gt;="&amp;LOOKUP(2,1/($T$20:$T156="H")),$V$20:$V156,"&lt;=$"&amp;V156)</f>
        <v>0</v>
      </c>
    </row>
    <row r="157" spans="24:24" x14ac:dyDescent="0.2">
      <c r="X157" s="32">
        <f>_xlfn.MAXIFS($U$20:$U157,$T$20:$T157,"H",$U$20:$U157,"&gt;="&amp;LOOKUP(2,1/($T$20:$T157="H")),$V$20:$V157,"&lt;=$"&amp;V157)</f>
        <v>0</v>
      </c>
    </row>
    <row r="158" spans="24:24" x14ac:dyDescent="0.2">
      <c r="X158" s="32">
        <f>_xlfn.MAXIFS($U$20:$U158,$T$20:$T158,"H",$U$20:$U158,"&gt;="&amp;LOOKUP(2,1/($T$20:$T158="H")),$V$20:$V158,"&lt;=$"&amp;V158)</f>
        <v>0</v>
      </c>
    </row>
    <row r="159" spans="24:24" x14ac:dyDescent="0.2">
      <c r="X159" s="32">
        <f>_xlfn.MAXIFS($U$20:$U159,$T$20:$T159,"H",$U$20:$U159,"&gt;="&amp;LOOKUP(2,1/($T$20:$T159="H")),$V$20:$V159,"&lt;=$"&amp;V159)</f>
        <v>0</v>
      </c>
    </row>
    <row r="160" spans="24:24" x14ac:dyDescent="0.2">
      <c r="X160" s="32">
        <f>_xlfn.MAXIFS($U$20:$U160,$T$20:$T160,"H",$U$20:$U160,"&gt;="&amp;LOOKUP(2,1/($T$20:$T160="H")),$V$20:$V160,"&lt;=$"&amp;V160)</f>
        <v>0</v>
      </c>
    </row>
    <row r="161" spans="24:24" x14ac:dyDescent="0.2">
      <c r="X161" s="32">
        <f>_xlfn.MAXIFS($U$20:$U161,$T$20:$T161,"H",$U$20:$U161,"&gt;="&amp;LOOKUP(2,1/($T$20:$T161="H")),$V$20:$V161,"&lt;=$"&amp;V161)</f>
        <v>0</v>
      </c>
    </row>
    <row r="162" spans="24:24" x14ac:dyDescent="0.2">
      <c r="X162" s="32">
        <f>_xlfn.MAXIFS($U$20:$U162,$T$20:$T162,"H",$U$20:$U162,"&gt;="&amp;LOOKUP(2,1/($T$20:$T162="H")),$V$20:$V162,"&lt;=$"&amp;V162)</f>
        <v>0</v>
      </c>
    </row>
    <row r="163" spans="24:24" x14ac:dyDescent="0.2">
      <c r="X163" s="32">
        <f>_xlfn.MAXIFS($U$20:$U163,$T$20:$T163,"H",$U$20:$U163,"&gt;="&amp;LOOKUP(2,1/($T$20:$T163="H")),$V$20:$V163,"&lt;=$"&amp;V163)</f>
        <v>0</v>
      </c>
    </row>
    <row r="164" spans="24:24" x14ac:dyDescent="0.2">
      <c r="X164" s="32">
        <f>_xlfn.MAXIFS($U$20:$U164,$T$20:$T164,"H",$U$20:$U164,"&gt;="&amp;LOOKUP(2,1/($T$20:$T164="H")),$V$20:$V164,"&lt;=$"&amp;V164)</f>
        <v>0</v>
      </c>
    </row>
    <row r="165" spans="24:24" x14ac:dyDescent="0.2">
      <c r="X165" s="32">
        <f>_xlfn.MAXIFS($U$20:$U165,$T$20:$T165,"H",$U$20:$U165,"&gt;="&amp;LOOKUP(2,1/($T$20:$T165="H")),$V$20:$V165,"&lt;=$"&amp;V165)</f>
        <v>0</v>
      </c>
    </row>
    <row r="166" spans="24:24" x14ac:dyDescent="0.2">
      <c r="X166" s="32">
        <f>_xlfn.MAXIFS($U$20:$U166,$T$20:$T166,"H",$U$20:$U166,"&gt;="&amp;LOOKUP(2,1/($T$20:$T166="H")),$V$20:$V166,"&lt;=$"&amp;V166)</f>
        <v>0</v>
      </c>
    </row>
    <row r="167" spans="24:24" x14ac:dyDescent="0.2">
      <c r="X167" s="32">
        <f>_xlfn.MAXIFS($U$20:$U167,$T$20:$T167,"H",$U$20:$U167,"&gt;="&amp;LOOKUP(2,1/($T$20:$T167="H")),$V$20:$V167,"&lt;=$"&amp;V167)</f>
        <v>0</v>
      </c>
    </row>
    <row r="168" spans="24:24" x14ac:dyDescent="0.2">
      <c r="X168" s="32">
        <f>_xlfn.MAXIFS($U$20:$U168,$T$20:$T168,"H",$U$20:$U168,"&gt;="&amp;LOOKUP(2,1/($T$20:$T168="H")),$V$20:$V168,"&lt;=$"&amp;V168)</f>
        <v>0</v>
      </c>
    </row>
    <row r="169" spans="24:24" x14ac:dyDescent="0.2">
      <c r="X169" s="32">
        <f>_xlfn.MAXIFS($U$20:$U169,$T$20:$T169,"H",$U$20:$U169,"&gt;="&amp;LOOKUP(2,1/($T$20:$T169="H")),$V$20:$V169,"&lt;=$"&amp;V169)</f>
        <v>0</v>
      </c>
    </row>
    <row r="170" spans="24:24" x14ac:dyDescent="0.2">
      <c r="X170" s="32">
        <f>_xlfn.MAXIFS($U$20:$U170,$T$20:$T170,"H",$U$20:$U170,"&gt;="&amp;LOOKUP(2,1/($T$20:$T170="H")),$V$20:$V170,"&lt;=$"&amp;V170)</f>
        <v>0</v>
      </c>
    </row>
    <row r="171" spans="24:24" x14ac:dyDescent="0.2">
      <c r="X171" s="32">
        <f>_xlfn.MAXIFS($U$20:$U171,$T$20:$T171,"H",$U$20:$U171,"&gt;="&amp;LOOKUP(2,1/($T$20:$T171="H")),$V$20:$V171,"&lt;=$"&amp;V171)</f>
        <v>0</v>
      </c>
    </row>
    <row r="172" spans="24:24" x14ac:dyDescent="0.2">
      <c r="X172" s="32">
        <f>_xlfn.MAXIFS($U$20:$U172,$T$20:$T172,"H",$U$20:$U172,"&gt;="&amp;LOOKUP(2,1/($T$20:$T172="H")),$V$20:$V172,"&lt;=$"&amp;V172)</f>
        <v>0</v>
      </c>
    </row>
    <row r="173" spans="24:24" x14ac:dyDescent="0.2">
      <c r="X173" s="32">
        <f>_xlfn.MAXIFS($U$20:$U173,$T$20:$T173,"H",$U$20:$U173,"&gt;="&amp;LOOKUP(2,1/($T$20:$T173="H")),$V$20:$V173,"&lt;=$"&amp;V173)</f>
        <v>0</v>
      </c>
    </row>
    <row r="174" spans="24:24" x14ac:dyDescent="0.2">
      <c r="X174" s="32">
        <f>_xlfn.MAXIFS($U$20:$U174,$T$20:$T174,"H",$U$20:$U174,"&gt;="&amp;LOOKUP(2,1/($T$20:$T174="H")),$V$20:$V174,"&lt;=$"&amp;V174)</f>
        <v>0</v>
      </c>
    </row>
    <row r="175" spans="24:24" x14ac:dyDescent="0.2">
      <c r="X175" s="32">
        <f>_xlfn.MAXIFS($U$20:$U175,$T$20:$T175,"H",$U$20:$U175,"&gt;="&amp;LOOKUP(2,1/($T$20:$T175="H")),$V$20:$V175,"&lt;=$"&amp;V175)</f>
        <v>0</v>
      </c>
    </row>
    <row r="176" spans="24:24" x14ac:dyDescent="0.2">
      <c r="X176" s="32">
        <f>_xlfn.MAXIFS($U$20:$U176,$T$20:$T176,"H",$U$20:$U176,"&gt;="&amp;LOOKUP(2,1/($T$20:$T176="H")),$V$20:$V176,"&lt;=$"&amp;V176)</f>
        <v>0</v>
      </c>
    </row>
    <row r="177" spans="24:24" x14ac:dyDescent="0.2">
      <c r="X177" s="32">
        <f>_xlfn.MAXIFS($U$20:$U177,$T$20:$T177,"H",$U$20:$U177,"&gt;="&amp;LOOKUP(2,1/($T$20:$T177="H")),$V$20:$V177,"&lt;=$"&amp;V177)</f>
        <v>0</v>
      </c>
    </row>
    <row r="178" spans="24:24" x14ac:dyDescent="0.2">
      <c r="X178" s="32">
        <f>_xlfn.MAXIFS($U$20:$U178,$T$20:$T178,"H",$U$20:$U178,"&gt;="&amp;LOOKUP(2,1/($T$20:$T178="H")),$V$20:$V178,"&lt;=$"&amp;V178)</f>
        <v>0</v>
      </c>
    </row>
    <row r="179" spans="24:24" x14ac:dyDescent="0.2">
      <c r="X179" s="32">
        <f>_xlfn.MAXIFS($U$20:$U179,$T$20:$T179,"H",$U$20:$U179,"&gt;="&amp;LOOKUP(2,1/($T$20:$T179="H")),$V$20:$V179,"&lt;=$"&amp;V179)</f>
        <v>0</v>
      </c>
    </row>
    <row r="180" spans="24:24" x14ac:dyDescent="0.2">
      <c r="X180" s="32">
        <f>_xlfn.MAXIFS($U$20:$U180,$T$20:$T180,"H",$U$20:$U180,"&gt;="&amp;LOOKUP(2,1/($T$20:$T180="H")),$V$20:$V180,"&lt;=$"&amp;V180)</f>
        <v>0</v>
      </c>
    </row>
    <row r="181" spans="24:24" x14ac:dyDescent="0.2">
      <c r="X181" s="32">
        <f>_xlfn.MAXIFS($U$20:$U181,$T$20:$T181,"H",$U$20:$U181,"&gt;="&amp;LOOKUP(2,1/($T$20:$T181="H")),$V$20:$V181,"&lt;=$"&amp;V181)</f>
        <v>0</v>
      </c>
    </row>
    <row r="182" spans="24:24" x14ac:dyDescent="0.2">
      <c r="X182" s="32">
        <f>_xlfn.MAXIFS($U$20:$U182,$T$20:$T182,"H",$U$20:$U182,"&gt;="&amp;LOOKUP(2,1/($T$20:$T182="H")),$V$20:$V182,"&lt;=$"&amp;V182)</f>
        <v>0</v>
      </c>
    </row>
    <row r="183" spans="24:24" x14ac:dyDescent="0.2">
      <c r="X183" s="32">
        <f>_xlfn.MAXIFS($U$20:$U183,$T$20:$T183,"H",$U$20:$U183,"&gt;="&amp;LOOKUP(2,1/($T$20:$T183="H")),$V$20:$V183,"&lt;=$"&amp;V183)</f>
        <v>0</v>
      </c>
    </row>
    <row r="184" spans="24:24" x14ac:dyDescent="0.2">
      <c r="X184" s="32">
        <f>_xlfn.MAXIFS($U$20:$U184,$T$20:$T184,"H",$U$20:$U184,"&gt;="&amp;LOOKUP(2,1/($T$20:$T184="H")),$V$20:$V184,"&lt;=$"&amp;V184)</f>
        <v>0</v>
      </c>
    </row>
    <row r="185" spans="24:24" x14ac:dyDescent="0.2">
      <c r="X185" s="32">
        <f>_xlfn.MAXIFS($U$20:$U185,$T$20:$T185,"H",$U$20:$U185,"&gt;="&amp;LOOKUP(2,1/($T$20:$T185="H")),$V$20:$V185,"&lt;=$"&amp;V185)</f>
        <v>0</v>
      </c>
    </row>
    <row r="186" spans="24:24" x14ac:dyDescent="0.2">
      <c r="X186" s="32">
        <f>_xlfn.MAXIFS($U$20:$U186,$T$20:$T186,"H",$U$20:$U186,"&gt;="&amp;LOOKUP(2,1/($T$20:$T186="H")),$V$20:$V186,"&lt;=$"&amp;V186)</f>
        <v>0</v>
      </c>
    </row>
    <row r="187" spans="24:24" x14ac:dyDescent="0.2">
      <c r="X187" s="32">
        <f>_xlfn.MAXIFS($U$20:$U187,$T$20:$T187,"H",$U$20:$U187,"&gt;="&amp;LOOKUP(2,1/($T$20:$T187="H")),$V$20:$V187,"&lt;=$"&amp;V187)</f>
        <v>0</v>
      </c>
    </row>
    <row r="188" spans="24:24" x14ac:dyDescent="0.2">
      <c r="X188" s="32">
        <f>_xlfn.MAXIFS($U$20:$U188,$T$20:$T188,"H",$U$20:$U188,"&gt;="&amp;LOOKUP(2,1/($T$20:$T188="H")),$V$20:$V188,"&lt;=$"&amp;V188)</f>
        <v>0</v>
      </c>
    </row>
    <row r="189" spans="24:24" x14ac:dyDescent="0.2">
      <c r="X189" s="32">
        <f>_xlfn.MAXIFS($U$20:$U189,$T$20:$T189,"H",$U$20:$U189,"&gt;="&amp;LOOKUP(2,1/($T$20:$T189="H")),$V$20:$V189,"&lt;=$"&amp;V189)</f>
        <v>0</v>
      </c>
    </row>
    <row r="190" spans="24:24" x14ac:dyDescent="0.2">
      <c r="X190" s="32">
        <f>_xlfn.MAXIFS($U$20:$U190,$T$20:$T190,"H",$U$20:$U190,"&gt;="&amp;LOOKUP(2,1/($T$20:$T190="H")),$V$20:$V190,"&lt;=$"&amp;V190)</f>
        <v>0</v>
      </c>
    </row>
    <row r="191" spans="24:24" x14ac:dyDescent="0.2">
      <c r="X191" s="32">
        <f>_xlfn.MAXIFS($U$20:$U191,$T$20:$T191,"H",$U$20:$U191,"&gt;="&amp;LOOKUP(2,1/($T$20:$T191="H")),$V$20:$V191,"&lt;=$"&amp;V191)</f>
        <v>0</v>
      </c>
    </row>
    <row r="192" spans="24:24" x14ac:dyDescent="0.2">
      <c r="X192" s="32">
        <f>_xlfn.MAXIFS($U$20:$U192,$T$20:$T192,"H",$U$20:$U192,"&gt;="&amp;LOOKUP(2,1/($T$20:$T192="H")),$V$20:$V192,"&lt;=$"&amp;V192)</f>
        <v>0</v>
      </c>
    </row>
    <row r="193" spans="24:24" x14ac:dyDescent="0.2">
      <c r="X193" s="32">
        <f>_xlfn.MAXIFS($U$20:$U193,$T$20:$T193,"H",$U$20:$U193,"&gt;="&amp;LOOKUP(2,1/($T$20:$T193="H")),$V$20:$V193,"&lt;=$"&amp;V193)</f>
        <v>0</v>
      </c>
    </row>
    <row r="194" spans="24:24" x14ac:dyDescent="0.2">
      <c r="X194" s="32">
        <f>_xlfn.MAXIFS($U$20:$U194,$T$20:$T194,"H",$U$20:$U194,"&gt;="&amp;LOOKUP(2,1/($T$20:$T194="H")),$V$20:$V194,"&lt;=$"&amp;V194)</f>
        <v>0</v>
      </c>
    </row>
    <row r="195" spans="24:24" x14ac:dyDescent="0.2">
      <c r="X195" s="32">
        <f>_xlfn.MAXIFS($U$20:$U195,$T$20:$T195,"H",$U$20:$U195,"&gt;="&amp;LOOKUP(2,1/($T$20:$T195="H")),$V$20:$V195,"&lt;=$"&amp;V195)</f>
        <v>0</v>
      </c>
    </row>
    <row r="196" spans="24:24" x14ac:dyDescent="0.2">
      <c r="X196" s="32">
        <f>_xlfn.MAXIFS($U$20:$U196,$T$20:$T196,"H",$U$20:$U196,"&gt;="&amp;LOOKUP(2,1/($T$20:$T196="H")),$V$20:$V196,"&lt;=$"&amp;V196)</f>
        <v>0</v>
      </c>
    </row>
    <row r="197" spans="24:24" x14ac:dyDescent="0.2">
      <c r="X197" s="32">
        <f>_xlfn.MAXIFS($U$20:$U197,$T$20:$T197,"H",$U$20:$U197,"&gt;="&amp;LOOKUP(2,1/($T$20:$T197="H")),$V$20:$V197,"&lt;=$"&amp;V197)</f>
        <v>0</v>
      </c>
    </row>
    <row r="198" spans="24:24" x14ac:dyDescent="0.2">
      <c r="X198" s="32">
        <f>_xlfn.MAXIFS($U$20:$U198,$T$20:$T198,"H",$U$20:$U198,"&gt;="&amp;LOOKUP(2,1/($T$20:$T198="H")),$V$20:$V198,"&lt;=$"&amp;V198)</f>
        <v>0</v>
      </c>
    </row>
    <row r="199" spans="24:24" x14ac:dyDescent="0.2">
      <c r="X199" s="32">
        <f>_xlfn.MAXIFS($U$20:$U199,$T$20:$T199,"H",$U$20:$U199,"&gt;="&amp;LOOKUP(2,1/($T$20:$T199="H")),$V$20:$V199,"&lt;=$"&amp;V199)</f>
        <v>0</v>
      </c>
    </row>
    <row r="200" spans="24:24" x14ac:dyDescent="0.2">
      <c r="X200" s="32">
        <f>_xlfn.MAXIFS($U$20:$U200,$T$20:$T200,"H",$U$20:$U200,"&gt;="&amp;LOOKUP(2,1/($T$20:$T200="H")),$V$20:$V200,"&lt;=$"&amp;V200)</f>
        <v>0</v>
      </c>
    </row>
    <row r="201" spans="24:24" x14ac:dyDescent="0.2">
      <c r="X201" s="32">
        <f>_xlfn.MAXIFS($U$20:$U201,$T$20:$T201,"H",$U$20:$U201,"&gt;="&amp;LOOKUP(2,1/($T$20:$T201="H")),$V$20:$V201,"&lt;=$"&amp;V201)</f>
        <v>0</v>
      </c>
    </row>
    <row r="202" spans="24:24" x14ac:dyDescent="0.2">
      <c r="X202" s="32">
        <f>_xlfn.MAXIFS($U$20:$U202,$T$20:$T202,"H",$U$20:$U202,"&gt;="&amp;LOOKUP(2,1/($T$20:$T202="H")),$V$20:$V202,"&lt;=$"&amp;V202)</f>
        <v>0</v>
      </c>
    </row>
    <row r="203" spans="24:24" x14ac:dyDescent="0.2">
      <c r="X203" s="32">
        <f>_xlfn.MAXIFS($U$20:$U203,$T$20:$T203,"H",$U$20:$U203,"&gt;="&amp;LOOKUP(2,1/($T$20:$T203="H")),$V$20:$V203,"&lt;=$"&amp;V203)</f>
        <v>0</v>
      </c>
    </row>
    <row r="204" spans="24:24" x14ac:dyDescent="0.2">
      <c r="X204" s="32">
        <f>_xlfn.MAXIFS($U$20:$U204,$T$20:$T204,"H",$U$20:$U204,"&gt;="&amp;LOOKUP(2,1/($T$20:$T204="H")),$V$20:$V204,"&lt;=$"&amp;V204)</f>
        <v>0</v>
      </c>
    </row>
    <row r="205" spans="24:24" x14ac:dyDescent="0.2">
      <c r="X205" s="32">
        <f>_xlfn.MAXIFS($U$20:$U205,$T$20:$T205,"H",$U$20:$U205,"&gt;="&amp;LOOKUP(2,1/($T$20:$T205="H")),$V$20:$V205,"&lt;=$"&amp;V205)</f>
        <v>0</v>
      </c>
    </row>
    <row r="206" spans="24:24" x14ac:dyDescent="0.2">
      <c r="X206" s="32">
        <f>_xlfn.MAXIFS($U$20:$U206,$T$20:$T206,"H",$U$20:$U206,"&gt;="&amp;LOOKUP(2,1/($T$20:$T206="H")),$V$20:$V206,"&lt;=$"&amp;V206)</f>
        <v>0</v>
      </c>
    </row>
    <row r="207" spans="24:24" x14ac:dyDescent="0.2">
      <c r="X207" s="32">
        <f>_xlfn.MAXIFS($U$20:$U207,$T$20:$T207,"H",$U$20:$U207,"&gt;="&amp;LOOKUP(2,1/($T$20:$T207="H")),$V$20:$V207,"&lt;=$"&amp;V207)</f>
        <v>0</v>
      </c>
    </row>
    <row r="208" spans="24:24" x14ac:dyDescent="0.2">
      <c r="X208" s="32">
        <f>_xlfn.MAXIFS($U$20:$U208,$T$20:$T208,"H",$U$20:$U208,"&gt;="&amp;LOOKUP(2,1/($T$20:$T208="H")),$V$20:$V208,"&lt;=$"&amp;V208)</f>
        <v>0</v>
      </c>
    </row>
    <row r="209" spans="24:24" x14ac:dyDescent="0.2">
      <c r="X209" s="32">
        <f>_xlfn.MAXIFS($U$20:$U209,$T$20:$T209,"H",$U$20:$U209,"&gt;="&amp;LOOKUP(2,1/($T$20:$T209="H")),$V$20:$V209,"&lt;=$"&amp;V209)</f>
        <v>0</v>
      </c>
    </row>
    <row r="210" spans="24:24" x14ac:dyDescent="0.2">
      <c r="X210" s="32">
        <f>_xlfn.MAXIFS($U$20:$U210,$T$20:$T210,"H",$U$20:$U210,"&gt;="&amp;LOOKUP(2,1/($T$20:$T210="H")),$V$20:$V210,"&lt;=$"&amp;V210)</f>
        <v>0</v>
      </c>
    </row>
    <row r="211" spans="24:24" x14ac:dyDescent="0.2">
      <c r="X211" s="32">
        <f>_xlfn.MAXIFS($U$20:$U211,$T$20:$T211,"H",$U$20:$U211,"&gt;="&amp;LOOKUP(2,1/($T$20:$T211="H")),$V$20:$V211,"&lt;=$"&amp;V211)</f>
        <v>0</v>
      </c>
    </row>
    <row r="212" spans="24:24" x14ac:dyDescent="0.2">
      <c r="X212" s="32">
        <f>_xlfn.MAXIFS($U$20:$U212,$T$20:$T212,"H",$U$20:$U212,"&gt;="&amp;LOOKUP(2,1/($T$20:$T212="H")),$V$20:$V212,"&lt;=$"&amp;V212)</f>
        <v>0</v>
      </c>
    </row>
    <row r="213" spans="24:24" x14ac:dyDescent="0.2">
      <c r="X213" s="32">
        <f>_xlfn.MAXIFS($U$20:$U213,$T$20:$T213,"H",$U$20:$U213,"&gt;="&amp;LOOKUP(2,1/($T$20:$T213="H")),$V$20:$V213,"&lt;=$"&amp;V213)</f>
        <v>0</v>
      </c>
    </row>
    <row r="214" spans="24:24" x14ac:dyDescent="0.2">
      <c r="X214" s="32">
        <f>_xlfn.MAXIFS($U$20:$U214,$T$20:$T214,"H",$U$20:$U214,"&gt;="&amp;LOOKUP(2,1/($T$20:$T214="H")),$V$20:$V214,"&lt;=$"&amp;V214)</f>
        <v>0</v>
      </c>
    </row>
    <row r="215" spans="24:24" x14ac:dyDescent="0.2">
      <c r="X215" s="32">
        <f>_xlfn.MAXIFS($U$20:$U215,$T$20:$T215,"H",$U$20:$U215,"&gt;="&amp;LOOKUP(2,1/($T$20:$T215="H")),$V$20:$V215,"&lt;=$"&amp;V215)</f>
        <v>0</v>
      </c>
    </row>
    <row r="216" spans="24:24" x14ac:dyDescent="0.2">
      <c r="X216" s="32">
        <f>_xlfn.MAXIFS($U$20:$U216,$T$20:$T216,"H",$U$20:$U216,"&gt;="&amp;LOOKUP(2,1/($T$20:$T216="H")),$V$20:$V216,"&lt;=$"&amp;V216)</f>
        <v>0</v>
      </c>
    </row>
    <row r="217" spans="24:24" x14ac:dyDescent="0.2">
      <c r="X217" s="32">
        <f>_xlfn.MAXIFS($U$20:$U217,$T$20:$T217,"H",$U$20:$U217,"&gt;="&amp;LOOKUP(2,1/($T$20:$T217="H")),$V$20:$V217,"&lt;=$"&amp;V217)</f>
        <v>0</v>
      </c>
    </row>
    <row r="218" spans="24:24" x14ac:dyDescent="0.2">
      <c r="X218" s="32">
        <f>_xlfn.MAXIFS($U$20:$U218,$T$20:$T218,"H",$U$20:$U218,"&gt;="&amp;LOOKUP(2,1/($T$20:$T218="H")),$V$20:$V218,"&lt;=$"&amp;V218)</f>
        <v>0</v>
      </c>
    </row>
    <row r="219" spans="24:24" x14ac:dyDescent="0.2">
      <c r="X219" s="32">
        <f>_xlfn.MAXIFS($U$20:$U219,$T$20:$T219,"H",$U$20:$U219,"&gt;="&amp;LOOKUP(2,1/($T$20:$T219="H")),$V$20:$V219,"&lt;=$"&amp;V219)</f>
        <v>0</v>
      </c>
    </row>
    <row r="220" spans="24:24" x14ac:dyDescent="0.2">
      <c r="X220" s="32">
        <f>_xlfn.MAXIFS($U$20:$U220,$T$20:$T220,"H",$U$20:$U220,"&gt;="&amp;LOOKUP(2,1/($T$20:$T220="H")),$V$20:$V220,"&lt;=$"&amp;V220)</f>
        <v>0</v>
      </c>
    </row>
    <row r="221" spans="24:24" x14ac:dyDescent="0.2">
      <c r="X221" s="32">
        <f>_xlfn.MAXIFS($U$20:$U221,$T$20:$T221,"H",$U$20:$U221,"&gt;="&amp;LOOKUP(2,1/($T$20:$T221="H")),$V$20:$V221,"&lt;=$"&amp;V221)</f>
        <v>0</v>
      </c>
    </row>
    <row r="222" spans="24:24" x14ac:dyDescent="0.2">
      <c r="X222" s="32">
        <f>_xlfn.MAXIFS($U$20:$U222,$T$20:$T222,"H",$U$20:$U222,"&gt;="&amp;LOOKUP(2,1/($T$20:$T222="H")),$V$20:$V222,"&lt;=$"&amp;V222)</f>
        <v>0</v>
      </c>
    </row>
    <row r="223" spans="24:24" x14ac:dyDescent="0.2">
      <c r="X223" s="32">
        <f>_xlfn.MAXIFS($U$20:$U223,$T$20:$T223,"H",$U$20:$U223,"&gt;="&amp;LOOKUP(2,1/($T$20:$T223="H")),$V$20:$V223,"&lt;=$"&amp;V223)</f>
        <v>0</v>
      </c>
    </row>
    <row r="224" spans="24:24" x14ac:dyDescent="0.2">
      <c r="X224" s="32">
        <f>_xlfn.MAXIFS($U$20:$U224,$T$20:$T224,"H",$U$20:$U224,"&gt;="&amp;LOOKUP(2,1/($T$20:$T224="H")),$V$20:$V224,"&lt;=$"&amp;V224)</f>
        <v>0</v>
      </c>
    </row>
    <row r="225" spans="24:24" x14ac:dyDescent="0.2">
      <c r="X225" s="32">
        <f>_xlfn.MAXIFS($U$20:$U225,$T$20:$T225,"H",$U$20:$U225,"&gt;="&amp;LOOKUP(2,1/($T$20:$T225="H")),$V$20:$V225,"&lt;=$"&amp;V225)</f>
        <v>0</v>
      </c>
    </row>
    <row r="226" spans="24:24" x14ac:dyDescent="0.2">
      <c r="X226" s="32">
        <f>_xlfn.MAXIFS($U$20:$U226,$T$20:$T226,"H",$U$20:$U226,"&gt;="&amp;LOOKUP(2,1/($T$20:$T226="H")),$V$20:$V226,"&lt;=$"&amp;V226)</f>
        <v>0</v>
      </c>
    </row>
    <row r="227" spans="24:24" x14ac:dyDescent="0.2">
      <c r="X227" s="32">
        <f>_xlfn.MAXIFS($U$20:$U227,$T$20:$T227,"H",$U$20:$U227,"&gt;="&amp;LOOKUP(2,1/($T$20:$T227="H")),$V$20:$V227,"&lt;=$"&amp;V227)</f>
        <v>0</v>
      </c>
    </row>
    <row r="228" spans="24:24" x14ac:dyDescent="0.2">
      <c r="X228" s="32">
        <f>_xlfn.MAXIFS($U$20:$U228,$T$20:$T228,"H",$U$20:$U228,"&gt;="&amp;LOOKUP(2,1/($T$20:$T228="H")),$V$20:$V228,"&lt;=$"&amp;V228)</f>
        <v>0</v>
      </c>
    </row>
    <row r="229" spans="24:24" x14ac:dyDescent="0.2">
      <c r="X229" s="32">
        <f>_xlfn.MAXIFS($U$20:$U229,$T$20:$T229,"H",$U$20:$U229,"&gt;="&amp;LOOKUP(2,1/($T$20:$T229="H")),$V$20:$V229,"&lt;=$"&amp;V229)</f>
        <v>0</v>
      </c>
    </row>
    <row r="230" spans="24:24" x14ac:dyDescent="0.2">
      <c r="X230" s="32">
        <f>_xlfn.MAXIFS($U$20:$U230,$T$20:$T230,"H",$U$20:$U230,"&gt;="&amp;LOOKUP(2,1/($T$20:$T230="H")),$V$20:$V230,"&lt;=$"&amp;V230)</f>
        <v>0</v>
      </c>
    </row>
    <row r="231" spans="24:24" x14ac:dyDescent="0.2">
      <c r="X231" s="32">
        <f>_xlfn.MAXIFS($U$20:$U231,$T$20:$T231,"H",$U$20:$U231,"&gt;="&amp;LOOKUP(2,1/($T$20:$T231="H")),$V$20:$V231,"&lt;=$"&amp;V231)</f>
        <v>0</v>
      </c>
    </row>
    <row r="232" spans="24:24" x14ac:dyDescent="0.2">
      <c r="X232" s="32">
        <f>_xlfn.MAXIFS($U$20:$U232,$T$20:$T232,"H",$U$20:$U232,"&gt;="&amp;LOOKUP(2,1/($T$20:$T232="H")),$V$20:$V232,"&lt;=$"&amp;V232)</f>
        <v>0</v>
      </c>
    </row>
    <row r="233" spans="24:24" x14ac:dyDescent="0.2">
      <c r="X233" s="32">
        <f>_xlfn.MAXIFS($U$20:$U233,$T$20:$T233,"H",$U$20:$U233,"&gt;="&amp;LOOKUP(2,1/($T$20:$T233="H")),$V$20:$V233,"&lt;=$"&amp;V233)</f>
        <v>0</v>
      </c>
    </row>
    <row r="234" spans="24:24" x14ac:dyDescent="0.2">
      <c r="X234" s="32">
        <f>_xlfn.MAXIFS($U$20:$U234,$T$20:$T234,"H",$U$20:$U234,"&gt;="&amp;LOOKUP(2,1/($T$20:$T234="H")),$V$20:$V234,"&lt;=$"&amp;V234)</f>
        <v>0</v>
      </c>
    </row>
    <row r="235" spans="24:24" x14ac:dyDescent="0.2">
      <c r="X235" s="32">
        <f>_xlfn.MAXIFS($U$20:$U235,$T$20:$T235,"H",$U$20:$U235,"&gt;="&amp;LOOKUP(2,1/($T$20:$T235="H")),$V$20:$V235,"&lt;=$"&amp;V235)</f>
        <v>0</v>
      </c>
    </row>
    <row r="236" spans="24:24" x14ac:dyDescent="0.2">
      <c r="X236" s="32">
        <f>_xlfn.MAXIFS($U$20:$U236,$T$20:$T236,"H",$U$20:$U236,"&gt;="&amp;LOOKUP(2,1/($T$20:$T236="H")),$V$20:$V236,"&lt;=$"&amp;V236)</f>
        <v>0</v>
      </c>
    </row>
    <row r="237" spans="24:24" x14ac:dyDescent="0.2">
      <c r="X237" s="32">
        <f>_xlfn.MAXIFS($U$20:$U237,$T$20:$T237,"H",$U$20:$U237,"&gt;="&amp;LOOKUP(2,1/($T$20:$T237="H")),$V$20:$V237,"&lt;=$"&amp;V237)</f>
        <v>0</v>
      </c>
    </row>
    <row r="238" spans="24:24" x14ac:dyDescent="0.2">
      <c r="X238" s="32">
        <f>_xlfn.MAXIFS($U$20:$U238,$T$20:$T238,"H",$U$20:$U238,"&gt;="&amp;LOOKUP(2,1/($T$20:$T238="H")),$V$20:$V238,"&lt;=$"&amp;V238)</f>
        <v>0</v>
      </c>
    </row>
    <row r="239" spans="24:24" x14ac:dyDescent="0.2">
      <c r="X239" s="32">
        <f>_xlfn.MAXIFS($U$20:$U239,$T$20:$T239,"H",$U$20:$U239,"&gt;="&amp;LOOKUP(2,1/($T$20:$T239="H")),$V$20:$V239,"&lt;=$"&amp;V239)</f>
        <v>0</v>
      </c>
    </row>
    <row r="240" spans="24:24" x14ac:dyDescent="0.2">
      <c r="X240" s="32">
        <f>_xlfn.MAXIFS($U$20:$U240,$T$20:$T240,"H",$U$20:$U240,"&gt;="&amp;LOOKUP(2,1/($T$20:$T240="H")),$V$20:$V240,"&lt;=$"&amp;V240)</f>
        <v>0</v>
      </c>
    </row>
    <row r="241" spans="24:24" x14ac:dyDescent="0.2">
      <c r="X241" s="32">
        <f>_xlfn.MAXIFS($U$20:$U241,$T$20:$T241,"H",$U$20:$U241,"&gt;="&amp;LOOKUP(2,1/($T$20:$T241="H")),$V$20:$V241,"&lt;=$"&amp;V241)</f>
        <v>0</v>
      </c>
    </row>
    <row r="242" spans="24:24" x14ac:dyDescent="0.2">
      <c r="X242" s="32">
        <f>_xlfn.MAXIFS($U$20:$U242,$T$20:$T242,"H",$U$20:$U242,"&gt;="&amp;LOOKUP(2,1/($T$20:$T242="H")),$V$20:$V242,"&lt;=$"&amp;V242)</f>
        <v>0</v>
      </c>
    </row>
    <row r="243" spans="24:24" x14ac:dyDescent="0.2">
      <c r="X243" s="32">
        <f>_xlfn.MAXIFS($U$20:$U243,$T$20:$T243,"H",$U$20:$U243,"&gt;="&amp;LOOKUP(2,1/($T$20:$T243="H")),$V$20:$V243,"&lt;=$"&amp;V243)</f>
        <v>0</v>
      </c>
    </row>
    <row r="244" spans="24:24" x14ac:dyDescent="0.2">
      <c r="X244" s="32">
        <f>_xlfn.MAXIFS($U$20:$U244,$T$20:$T244,"H",$U$20:$U244,"&gt;="&amp;LOOKUP(2,1/($T$20:$T244="H")),$V$20:$V244,"&lt;=$"&amp;V244)</f>
        <v>0</v>
      </c>
    </row>
    <row r="245" spans="24:24" x14ac:dyDescent="0.2">
      <c r="X245" s="32">
        <f>_xlfn.MAXIFS($U$20:$U245,$T$20:$T245,"H",$U$20:$U245,"&gt;="&amp;LOOKUP(2,1/($T$20:$T245="H")),$V$20:$V245,"&lt;=$"&amp;V245)</f>
        <v>0</v>
      </c>
    </row>
    <row r="246" spans="24:24" x14ac:dyDescent="0.2">
      <c r="X246" s="32">
        <f>_xlfn.MAXIFS($U$20:$U246,$T$20:$T246,"H",$U$20:$U246,"&gt;="&amp;LOOKUP(2,1/($T$20:$T246="H")),$V$20:$V246,"&lt;=$"&amp;V246)</f>
        <v>0</v>
      </c>
    </row>
    <row r="247" spans="24:24" x14ac:dyDescent="0.2">
      <c r="X247" s="32">
        <f>_xlfn.MAXIFS($U$20:$U247,$T$20:$T247,"H",$U$20:$U247,"&gt;="&amp;LOOKUP(2,1/($T$20:$T247="H")),$V$20:$V247,"&lt;=$"&amp;V247)</f>
        <v>0</v>
      </c>
    </row>
    <row r="248" spans="24:24" x14ac:dyDescent="0.2">
      <c r="X248" s="32">
        <f>_xlfn.MAXIFS($U$20:$U248,$T$20:$T248,"H",$U$20:$U248,"&gt;="&amp;LOOKUP(2,1/($T$20:$T248="H")),$V$20:$V248,"&lt;=$"&amp;V248)</f>
        <v>0</v>
      </c>
    </row>
    <row r="249" spans="24:24" x14ac:dyDescent="0.2">
      <c r="X249" s="32">
        <f>_xlfn.MAXIFS($U$20:$U249,$T$20:$T249,"H",$U$20:$U249,"&gt;="&amp;LOOKUP(2,1/($T$20:$T249="H")),$V$20:$V249,"&lt;=$"&amp;V249)</f>
        <v>0</v>
      </c>
    </row>
    <row r="250" spans="24:24" x14ac:dyDescent="0.2">
      <c r="X250" s="32">
        <f>_xlfn.MAXIFS($U$20:$U250,$T$20:$T250,"H",$U$20:$U250,"&gt;="&amp;LOOKUP(2,1/($T$20:$T250="H")),$V$20:$V250,"&lt;=$"&amp;V250)</f>
        <v>0</v>
      </c>
    </row>
    <row r="251" spans="24:24" x14ac:dyDescent="0.2">
      <c r="X251" s="32">
        <f>_xlfn.MAXIFS($U$20:$U251,$T$20:$T251,"H",$U$20:$U251,"&gt;="&amp;LOOKUP(2,1/($T$20:$T251="H")),$V$20:$V251,"&lt;=$"&amp;V251)</f>
        <v>0</v>
      </c>
    </row>
    <row r="252" spans="24:24" x14ac:dyDescent="0.2">
      <c r="X252" s="32">
        <f>_xlfn.MAXIFS($U$20:$U252,$T$20:$T252,"H",$U$20:$U252,"&gt;="&amp;LOOKUP(2,1/($T$20:$T252="H")),$V$20:$V252,"&lt;=$"&amp;V252)</f>
        <v>0</v>
      </c>
    </row>
    <row r="253" spans="24:24" x14ac:dyDescent="0.2">
      <c r="X253" s="32">
        <f>_xlfn.MAXIFS($U$20:$U253,$T$20:$T253,"H",$U$20:$U253,"&gt;="&amp;LOOKUP(2,1/($T$20:$T253="H")),$V$20:$V253,"&lt;=$"&amp;V253)</f>
        <v>0</v>
      </c>
    </row>
    <row r="254" spans="24:24" x14ac:dyDescent="0.2">
      <c r="X254" s="32">
        <f>_xlfn.MAXIFS($U$20:$U254,$T$20:$T254,"H",$U$20:$U254,"&gt;="&amp;LOOKUP(2,1/($T$20:$T254="H")),$V$20:$V254,"&lt;=$"&amp;V254)</f>
        <v>0</v>
      </c>
    </row>
    <row r="255" spans="24:24" x14ac:dyDescent="0.2">
      <c r="X255" s="32">
        <f>_xlfn.MAXIFS($U$20:$U255,$T$20:$T255,"H",$U$20:$U255,"&gt;="&amp;LOOKUP(2,1/($T$20:$T255="H")),$V$20:$V255,"&lt;=$"&amp;V255)</f>
        <v>0</v>
      </c>
    </row>
    <row r="256" spans="24:24" x14ac:dyDescent="0.2">
      <c r="X256" s="32">
        <f>_xlfn.MAXIFS($U$20:$U256,$T$20:$T256,"H",$U$20:$U256,"&gt;="&amp;LOOKUP(2,1/($T$20:$T256="H")),$V$20:$V256,"&lt;=$"&amp;V256)</f>
        <v>0</v>
      </c>
    </row>
    <row r="257" spans="24:24" x14ac:dyDescent="0.2">
      <c r="X257" s="32">
        <f>_xlfn.MAXIFS($U$20:$U257,$T$20:$T257,"H",$U$20:$U257,"&gt;="&amp;LOOKUP(2,1/($T$20:$T257="H")),$V$20:$V257,"&lt;=$"&amp;V257)</f>
        <v>0</v>
      </c>
    </row>
    <row r="258" spans="24:24" x14ac:dyDescent="0.2">
      <c r="X258" s="32">
        <f>_xlfn.MAXIFS($U$20:$U258,$T$20:$T258,"H",$U$20:$U258,"&gt;="&amp;LOOKUP(2,1/($T$20:$T258="H")),$V$20:$V258,"&lt;=$"&amp;V258)</f>
        <v>0</v>
      </c>
    </row>
    <row r="259" spans="24:24" x14ac:dyDescent="0.2">
      <c r="X259" s="32">
        <f>_xlfn.MAXIFS($U$20:$U259,$T$20:$T259,"H",$U$20:$U259,"&gt;="&amp;LOOKUP(2,1/($T$20:$T259="H")),$V$20:$V259,"&lt;=$"&amp;V259)</f>
        <v>0</v>
      </c>
    </row>
    <row r="260" spans="24:24" x14ac:dyDescent="0.2">
      <c r="X260" s="32">
        <f>_xlfn.MAXIFS($U$20:$U260,$T$20:$T260,"H",$U$20:$U260,"&gt;="&amp;LOOKUP(2,1/($T$20:$T260="H")),$V$20:$V260,"&lt;=$"&amp;V260)</f>
        <v>0</v>
      </c>
    </row>
    <row r="261" spans="24:24" x14ac:dyDescent="0.2">
      <c r="X261" s="32">
        <f>_xlfn.MAXIFS($U$20:$U261,$T$20:$T261,"H",$U$20:$U261,"&gt;="&amp;LOOKUP(2,1/($T$20:$T261="H")),$V$20:$V261,"&lt;=$"&amp;V261)</f>
        <v>0</v>
      </c>
    </row>
    <row r="262" spans="24:24" x14ac:dyDescent="0.2">
      <c r="X262" s="32">
        <f>_xlfn.MAXIFS($U$20:$U262,$T$20:$T262,"H",$U$20:$U262,"&gt;="&amp;LOOKUP(2,1/($T$20:$T262="H")),$V$20:$V262,"&lt;=$"&amp;V262)</f>
        <v>0</v>
      </c>
    </row>
    <row r="263" spans="24:24" x14ac:dyDescent="0.2">
      <c r="X263" s="32">
        <f>_xlfn.MAXIFS($U$20:$U263,$T$20:$T263,"H",$U$20:$U263,"&gt;="&amp;LOOKUP(2,1/($T$20:$T263="H")),$V$20:$V263,"&lt;=$"&amp;V263)</f>
        <v>0</v>
      </c>
    </row>
    <row r="264" spans="24:24" x14ac:dyDescent="0.2">
      <c r="X264" s="32">
        <f>_xlfn.MAXIFS($U$20:$U264,$T$20:$T264,"H",$U$20:$U264,"&gt;="&amp;LOOKUP(2,1/($T$20:$T264="H")),$V$20:$V264,"&lt;=$"&amp;V264)</f>
        <v>0</v>
      </c>
    </row>
    <row r="265" spans="24:24" x14ac:dyDescent="0.2">
      <c r="X265" s="32">
        <f>_xlfn.MAXIFS($U$20:$U265,$T$20:$T265,"H",$U$20:$U265,"&gt;="&amp;LOOKUP(2,1/($T$20:$T265="H")),$V$20:$V265,"&lt;=$"&amp;V265)</f>
        <v>0</v>
      </c>
    </row>
    <row r="266" spans="24:24" x14ac:dyDescent="0.2">
      <c r="X266" s="32">
        <f>_xlfn.MAXIFS($U$20:$U266,$T$20:$T266,"H",$U$20:$U266,"&gt;="&amp;LOOKUP(2,1/($T$20:$T266="H")),$V$20:$V266,"&lt;=$"&amp;V266)</f>
        <v>0</v>
      </c>
    </row>
    <row r="267" spans="24:24" x14ac:dyDescent="0.2">
      <c r="X267" s="32">
        <f>_xlfn.MAXIFS($U$20:$U267,$T$20:$T267,"H",$U$20:$U267,"&gt;="&amp;LOOKUP(2,1/($T$20:$T267="H")),$V$20:$V267,"&lt;=$"&amp;V267)</f>
        <v>0</v>
      </c>
    </row>
    <row r="268" spans="24:24" x14ac:dyDescent="0.2">
      <c r="X268" s="32">
        <f>_xlfn.MAXIFS($U$20:$U268,$T$20:$T268,"H",$U$20:$U268,"&gt;="&amp;LOOKUP(2,1/($T$20:$T268="H")),$V$20:$V268,"&lt;=$"&amp;V268)</f>
        <v>0</v>
      </c>
    </row>
    <row r="269" spans="24:24" x14ac:dyDescent="0.2">
      <c r="X269" s="32">
        <f>_xlfn.MAXIFS($U$20:$U269,$T$20:$T269,"H",$U$20:$U269,"&gt;="&amp;LOOKUP(2,1/($T$20:$T269="H")),$V$20:$V269,"&lt;=$"&amp;V269)</f>
        <v>0</v>
      </c>
    </row>
    <row r="270" spans="24:24" x14ac:dyDescent="0.2">
      <c r="X270" s="32">
        <f>_xlfn.MAXIFS($U$20:$U270,$T$20:$T270,"H",$U$20:$U270,"&gt;="&amp;LOOKUP(2,1/($T$20:$T270="H")),$V$20:$V270,"&lt;=$"&amp;V270)</f>
        <v>0</v>
      </c>
    </row>
    <row r="271" spans="24:24" x14ac:dyDescent="0.2">
      <c r="X271" s="32">
        <f>_xlfn.MAXIFS($U$20:$U271,$T$20:$T271,"H",$U$20:$U271,"&gt;="&amp;LOOKUP(2,1/($T$20:$T271="H")),$V$20:$V271,"&lt;=$"&amp;V271)</f>
        <v>0</v>
      </c>
    </row>
    <row r="272" spans="24:24" x14ac:dyDescent="0.2">
      <c r="X272" s="32">
        <f>_xlfn.MAXIFS($U$20:$U272,$T$20:$T272,"H",$U$20:$U272,"&gt;="&amp;LOOKUP(2,1/($T$20:$T272="H")),$V$20:$V272,"&lt;=$"&amp;V272)</f>
        <v>0</v>
      </c>
    </row>
    <row r="273" spans="24:24" x14ac:dyDescent="0.2">
      <c r="X273" s="32">
        <f>_xlfn.MAXIFS($U$20:$U273,$T$20:$T273,"H",$U$20:$U273,"&gt;="&amp;LOOKUP(2,1/($T$20:$T273="H")),$V$20:$V273,"&lt;=$"&amp;V273)</f>
        <v>0</v>
      </c>
    </row>
    <row r="274" spans="24:24" x14ac:dyDescent="0.2">
      <c r="X274" s="32">
        <f>_xlfn.MAXIFS($U$20:$U274,$T$20:$T274,"H",$U$20:$U274,"&gt;="&amp;LOOKUP(2,1/($T$20:$T274="H")),$V$20:$V274,"&lt;=$"&amp;V274)</f>
        <v>0</v>
      </c>
    </row>
    <row r="275" spans="24:24" x14ac:dyDescent="0.2">
      <c r="X275" s="32">
        <f>_xlfn.MAXIFS($U$20:$U275,$T$20:$T275,"H",$U$20:$U275,"&gt;="&amp;LOOKUP(2,1/($T$20:$T275="H")),$V$20:$V275,"&lt;=$"&amp;V275)</f>
        <v>0</v>
      </c>
    </row>
    <row r="276" spans="24:24" x14ac:dyDescent="0.2">
      <c r="X276" s="32">
        <f>_xlfn.MAXIFS($U$20:$U276,$T$20:$T276,"H",$U$20:$U276,"&gt;="&amp;LOOKUP(2,1/($T$20:$T276="H")),$V$20:$V276,"&lt;=$"&amp;V276)</f>
        <v>0</v>
      </c>
    </row>
    <row r="277" spans="24:24" x14ac:dyDescent="0.2">
      <c r="X277" s="32">
        <f>_xlfn.MAXIFS($U$20:$U277,$T$20:$T277,"H",$U$20:$U277,"&gt;="&amp;LOOKUP(2,1/($T$20:$T277="H")),$V$20:$V277,"&lt;=$"&amp;V277)</f>
        <v>0</v>
      </c>
    </row>
    <row r="278" spans="24:24" x14ac:dyDescent="0.2">
      <c r="X278" s="32">
        <f>_xlfn.MAXIFS($U$20:$U278,$T$20:$T278,"H",$U$20:$U278,"&gt;="&amp;LOOKUP(2,1/($T$20:$T278="H")),$V$20:$V278,"&lt;=$"&amp;V278)</f>
        <v>0</v>
      </c>
    </row>
    <row r="279" spans="24:24" x14ac:dyDescent="0.2">
      <c r="X279" s="32">
        <f>_xlfn.MAXIFS($U$20:$U279,$T$20:$T279,"H",$U$20:$U279,"&gt;="&amp;LOOKUP(2,1/($T$20:$T279="H")),$V$20:$V279,"&lt;=$"&amp;V279)</f>
        <v>0</v>
      </c>
    </row>
    <row r="280" spans="24:24" x14ac:dyDescent="0.2">
      <c r="X280" s="32">
        <f>_xlfn.MAXIFS($U$20:$U280,$T$20:$T280,"H",$U$20:$U280,"&gt;="&amp;LOOKUP(2,1/($T$20:$T280="H")),$V$20:$V280,"&lt;=$"&amp;V280)</f>
        <v>0</v>
      </c>
    </row>
    <row r="281" spans="24:24" x14ac:dyDescent="0.2">
      <c r="X281" s="32">
        <f>_xlfn.MAXIFS($U$20:$U281,$T$20:$T281,"H",$U$20:$U281,"&gt;="&amp;LOOKUP(2,1/($T$20:$T281="H")),$V$20:$V281,"&lt;=$"&amp;V281)</f>
        <v>0</v>
      </c>
    </row>
    <row r="282" spans="24:24" x14ac:dyDescent="0.2">
      <c r="X282" s="32">
        <f>_xlfn.MAXIFS($U$20:$U282,$T$20:$T282,"H",$U$20:$U282,"&gt;="&amp;LOOKUP(2,1/($T$20:$T282="H")),$V$20:$V282,"&lt;=$"&amp;V282)</f>
        <v>0</v>
      </c>
    </row>
    <row r="283" spans="24:24" x14ac:dyDescent="0.2">
      <c r="X283" s="32">
        <f>_xlfn.MAXIFS($U$20:$U283,$T$20:$T283,"H",$U$20:$U283,"&gt;="&amp;LOOKUP(2,1/($T$20:$T283="H")),$V$20:$V283,"&lt;=$"&amp;V283)</f>
        <v>0</v>
      </c>
    </row>
    <row r="284" spans="24:24" x14ac:dyDescent="0.2">
      <c r="X284" s="32">
        <f>_xlfn.MAXIFS($U$20:$U284,$T$20:$T284,"H",$U$20:$U284,"&gt;="&amp;LOOKUP(2,1/($T$20:$T284="H")),$V$20:$V284,"&lt;=$"&amp;V284)</f>
        <v>0</v>
      </c>
    </row>
    <row r="285" spans="24:24" x14ac:dyDescent="0.2">
      <c r="X285" s="32">
        <f>_xlfn.MAXIFS($U$20:$U285,$T$20:$T285,"H",$U$20:$U285,"&gt;="&amp;LOOKUP(2,1/($T$20:$T285="H")),$V$20:$V285,"&lt;=$"&amp;V285)</f>
        <v>0</v>
      </c>
    </row>
    <row r="286" spans="24:24" x14ac:dyDescent="0.2">
      <c r="X286" s="32">
        <f>_xlfn.MAXIFS($U$20:$U286,$T$20:$T286,"H",$U$20:$U286,"&gt;="&amp;LOOKUP(2,1/($T$20:$T286="H")),$V$20:$V286,"&lt;=$"&amp;V286)</f>
        <v>0</v>
      </c>
    </row>
    <row r="287" spans="24:24" x14ac:dyDescent="0.2">
      <c r="X287" s="32">
        <f>_xlfn.MAXIFS($U$20:$U287,$T$20:$T287,"H",$U$20:$U287,"&gt;="&amp;LOOKUP(2,1/($T$20:$T287="H")),$V$20:$V287,"&lt;=$"&amp;V287)</f>
        <v>0</v>
      </c>
    </row>
    <row r="288" spans="24:24" x14ac:dyDescent="0.2">
      <c r="X288" s="32">
        <f>_xlfn.MAXIFS($U$20:$U288,$T$20:$T288,"H",$U$20:$U288,"&gt;="&amp;LOOKUP(2,1/($T$20:$T288="H")),$V$20:$V288,"&lt;=$"&amp;V288)</f>
        <v>0</v>
      </c>
    </row>
    <row r="289" spans="24:24" x14ac:dyDescent="0.2">
      <c r="X289" s="32">
        <f>_xlfn.MAXIFS($U$20:$U289,$T$20:$T289,"H",$U$20:$U289,"&gt;="&amp;LOOKUP(2,1/($T$20:$T289="H")),$V$20:$V289,"&lt;=$"&amp;V289)</f>
        <v>0</v>
      </c>
    </row>
    <row r="290" spans="24:24" x14ac:dyDescent="0.2">
      <c r="X290" s="32">
        <f>_xlfn.MAXIFS($U$20:$U290,$T$20:$T290,"H",$U$20:$U290,"&gt;="&amp;LOOKUP(2,1/($T$20:$T290="H")),$V$20:$V290,"&lt;=$"&amp;V290)</f>
        <v>0</v>
      </c>
    </row>
    <row r="291" spans="24:24" x14ac:dyDescent="0.2">
      <c r="X291" s="32">
        <f>_xlfn.MAXIFS($U$20:$U291,$T$20:$T291,"H",$U$20:$U291,"&gt;="&amp;LOOKUP(2,1/($T$20:$T291="H")),$V$20:$V291,"&lt;=$"&amp;V291)</f>
        <v>0</v>
      </c>
    </row>
    <row r="292" spans="24:24" x14ac:dyDescent="0.2">
      <c r="X292" s="32">
        <f>_xlfn.MAXIFS($U$20:$U292,$T$20:$T292,"H",$U$20:$U292,"&gt;="&amp;LOOKUP(2,1/($T$20:$T292="H")),$V$20:$V292,"&lt;=$"&amp;V292)</f>
        <v>0</v>
      </c>
    </row>
    <row r="293" spans="24:24" x14ac:dyDescent="0.2">
      <c r="X293" s="32">
        <f>_xlfn.MAXIFS($U$20:$U293,$T$20:$T293,"H",$U$20:$U293,"&gt;="&amp;LOOKUP(2,1/($T$20:$T293="H")),$V$20:$V293,"&lt;=$"&amp;V293)</f>
        <v>0</v>
      </c>
    </row>
    <row r="294" spans="24:24" x14ac:dyDescent="0.2">
      <c r="X294" s="32">
        <f>_xlfn.MAXIFS($U$20:$U294,$T$20:$T294,"H",$U$20:$U294,"&gt;="&amp;LOOKUP(2,1/($T$20:$T294="H")),$V$20:$V294,"&lt;=$"&amp;V294)</f>
        <v>0</v>
      </c>
    </row>
    <row r="295" spans="24:24" x14ac:dyDescent="0.2">
      <c r="X295" s="32">
        <f>_xlfn.MAXIFS($U$20:$U295,$T$20:$T295,"H",$U$20:$U295,"&gt;="&amp;LOOKUP(2,1/($T$20:$T295="H")),$V$20:$V295,"&lt;=$"&amp;V295)</f>
        <v>0</v>
      </c>
    </row>
    <row r="296" spans="24:24" x14ac:dyDescent="0.2">
      <c r="X296" s="32">
        <f>_xlfn.MAXIFS($U$20:$U296,$T$20:$T296,"H",$U$20:$U296,"&gt;="&amp;LOOKUP(2,1/($T$20:$T296="H")),$V$20:$V296,"&lt;=$"&amp;V296)</f>
        <v>0</v>
      </c>
    </row>
    <row r="297" spans="24:24" x14ac:dyDescent="0.2">
      <c r="X297" s="32">
        <f>_xlfn.MAXIFS($U$20:$U297,$T$20:$T297,"H",$U$20:$U297,"&gt;="&amp;LOOKUP(2,1/($T$20:$T297="H")),$V$20:$V297,"&lt;=$"&amp;V297)</f>
        <v>0</v>
      </c>
    </row>
    <row r="298" spans="24:24" x14ac:dyDescent="0.2">
      <c r="X298" s="32">
        <f>_xlfn.MAXIFS($U$20:$U298,$T$20:$T298,"H",$U$20:$U298,"&gt;="&amp;LOOKUP(2,1/($T$20:$T298="H")),$V$20:$V298,"&lt;=$"&amp;V298)</f>
        <v>0</v>
      </c>
    </row>
    <row r="299" spans="24:24" x14ac:dyDescent="0.2">
      <c r="X299" s="32">
        <f>_xlfn.MAXIFS($U$20:$U299,$T$20:$T299,"H",$U$20:$U299,"&gt;="&amp;LOOKUP(2,1/($T$20:$T299="H")),$V$20:$V299,"&lt;=$"&amp;V299)</f>
        <v>0</v>
      </c>
    </row>
    <row r="300" spans="24:24" x14ac:dyDescent="0.2">
      <c r="X300" s="32">
        <f>_xlfn.MAXIFS($U$20:$U300,$T$20:$T300,"H",$U$20:$U300,"&gt;="&amp;LOOKUP(2,1/($T$20:$T300="H")),$V$20:$V300,"&lt;=$"&amp;V300)</f>
        <v>0</v>
      </c>
    </row>
    <row r="301" spans="24:24" x14ac:dyDescent="0.2">
      <c r="X301" s="32">
        <f>_xlfn.MAXIFS($U$20:$U301,$T$20:$T301,"H",$U$20:$U301,"&gt;="&amp;LOOKUP(2,1/($T$20:$T301="H")),$V$20:$V301,"&lt;=$"&amp;V301)</f>
        <v>0</v>
      </c>
    </row>
    <row r="302" spans="24:24" x14ac:dyDescent="0.2">
      <c r="X302" s="32">
        <f>_xlfn.MAXIFS($U$20:$U302,$T$20:$T302,"H",$U$20:$U302,"&gt;="&amp;LOOKUP(2,1/($T$20:$T302="H")),$V$20:$V302,"&lt;=$"&amp;V302)</f>
        <v>0</v>
      </c>
    </row>
    <row r="303" spans="24:24" x14ac:dyDescent="0.2">
      <c r="X303" s="32">
        <f>_xlfn.MAXIFS($U$20:$U303,$T$20:$T303,"H",$U$20:$U303,"&gt;="&amp;LOOKUP(2,1/($T$20:$T303="H")),$V$20:$V303,"&lt;=$"&amp;V303)</f>
        <v>0</v>
      </c>
    </row>
    <row r="304" spans="24:24" x14ac:dyDescent="0.2">
      <c r="X304" s="32">
        <f>_xlfn.MAXIFS($U$20:$U304,$T$20:$T304,"H",$U$20:$U304,"&gt;="&amp;LOOKUP(2,1/($T$20:$T304="H")),$V$20:$V304,"&lt;=$"&amp;V304)</f>
        <v>0</v>
      </c>
    </row>
    <row r="305" spans="24:24" x14ac:dyDescent="0.2">
      <c r="X305" s="32">
        <f>_xlfn.MAXIFS($U$20:$U305,$T$20:$T305,"H",$U$20:$U305,"&gt;="&amp;LOOKUP(2,1/($T$20:$T305="H")),$V$20:$V305,"&lt;=$"&amp;V305)</f>
        <v>0</v>
      </c>
    </row>
    <row r="306" spans="24:24" x14ac:dyDescent="0.2">
      <c r="X306" s="32">
        <f>_xlfn.MAXIFS($U$20:$U306,$T$20:$T306,"H",$U$20:$U306,"&gt;="&amp;LOOKUP(2,1/($T$20:$T306="H")),$V$20:$V306,"&lt;=$"&amp;V306)</f>
        <v>0</v>
      </c>
    </row>
    <row r="307" spans="24:24" x14ac:dyDescent="0.2">
      <c r="X307" s="32">
        <f>_xlfn.MAXIFS($U$20:$U307,$T$20:$T307,"H",$U$20:$U307,"&gt;="&amp;LOOKUP(2,1/($T$20:$T307="H")),$V$20:$V307,"&lt;=$"&amp;V307)</f>
        <v>0</v>
      </c>
    </row>
    <row r="308" spans="24:24" x14ac:dyDescent="0.2">
      <c r="X308" s="32">
        <f>_xlfn.MAXIFS($U$20:$U308,$T$20:$T308,"H",$U$20:$U308,"&gt;="&amp;LOOKUP(2,1/($T$20:$T308="H")),$V$20:$V308,"&lt;=$"&amp;V308)</f>
        <v>0</v>
      </c>
    </row>
    <row r="309" spans="24:24" x14ac:dyDescent="0.2">
      <c r="X309" s="32">
        <f>_xlfn.MAXIFS($U$20:$U309,$T$20:$T309,"H",$U$20:$U309,"&gt;="&amp;LOOKUP(2,1/($T$20:$T309="H")),$V$20:$V309,"&lt;=$"&amp;V309)</f>
        <v>0</v>
      </c>
    </row>
    <row r="310" spans="24:24" x14ac:dyDescent="0.2">
      <c r="X310" s="32">
        <f>_xlfn.MAXIFS($U$20:$U310,$T$20:$T310,"H",$U$20:$U310,"&gt;="&amp;LOOKUP(2,1/($T$20:$T310="H")),$V$20:$V310,"&lt;=$"&amp;V310)</f>
        <v>0</v>
      </c>
    </row>
    <row r="311" spans="24:24" x14ac:dyDescent="0.2">
      <c r="X311" s="32">
        <f>_xlfn.MAXIFS($U$20:$U311,$T$20:$T311,"H",$U$20:$U311,"&gt;="&amp;LOOKUP(2,1/($T$20:$T311="H")),$V$20:$V311,"&lt;=$"&amp;V311)</f>
        <v>0</v>
      </c>
    </row>
    <row r="312" spans="24:24" x14ac:dyDescent="0.2">
      <c r="X312" s="32">
        <f>_xlfn.MAXIFS($U$20:$U312,$T$20:$T312,"H",$U$20:$U312,"&gt;="&amp;LOOKUP(2,1/($T$20:$T312="H")),$V$20:$V312,"&lt;=$"&amp;V312)</f>
        <v>0</v>
      </c>
    </row>
    <row r="313" spans="24:24" x14ac:dyDescent="0.2">
      <c r="X313" s="32">
        <f>_xlfn.MAXIFS($U$20:$U313,$T$20:$T313,"H",$U$20:$U313,"&gt;="&amp;LOOKUP(2,1/($T$20:$T313="H")),$V$20:$V313,"&lt;=$"&amp;V313)</f>
        <v>0</v>
      </c>
    </row>
    <row r="314" spans="24:24" x14ac:dyDescent="0.2">
      <c r="X314" s="32">
        <f>_xlfn.MAXIFS($U$20:$U314,$T$20:$T314,"H",$U$20:$U314,"&gt;="&amp;LOOKUP(2,1/($T$20:$T314="H")),$V$20:$V314,"&lt;=$"&amp;V314)</f>
        <v>0</v>
      </c>
    </row>
    <row r="315" spans="24:24" x14ac:dyDescent="0.2">
      <c r="X315" s="32">
        <f>_xlfn.MAXIFS($U$20:$U315,$T$20:$T315,"H",$U$20:$U315,"&gt;="&amp;LOOKUP(2,1/($T$20:$T315="H")),$V$20:$V315,"&lt;=$"&amp;V315)</f>
        <v>0</v>
      </c>
    </row>
    <row r="316" spans="24:24" x14ac:dyDescent="0.2">
      <c r="X316" s="32">
        <f>_xlfn.MAXIFS($U$20:$U316,$T$20:$T316,"H",$U$20:$U316,"&gt;="&amp;LOOKUP(2,1/($T$20:$T316="H")),$V$20:$V316,"&lt;=$"&amp;V316)</f>
        <v>0</v>
      </c>
    </row>
    <row r="317" spans="24:24" x14ac:dyDescent="0.2">
      <c r="X317" s="32">
        <f>_xlfn.MAXIFS($U$20:$U317,$T$20:$T317,"H",$U$20:$U317,"&gt;="&amp;LOOKUP(2,1/($T$20:$T317="H")),$V$20:$V317,"&lt;=$"&amp;V317)</f>
        <v>0</v>
      </c>
    </row>
    <row r="318" spans="24:24" x14ac:dyDescent="0.2">
      <c r="X318" s="32">
        <f>_xlfn.MAXIFS($U$20:$U318,$T$20:$T318,"H",$U$20:$U318,"&gt;="&amp;LOOKUP(2,1/($T$20:$T318="H")),$V$20:$V318,"&lt;=$"&amp;V318)</f>
        <v>0</v>
      </c>
    </row>
    <row r="319" spans="24:24" x14ac:dyDescent="0.2">
      <c r="X319" s="32">
        <f>_xlfn.MAXIFS($U$20:$U319,$T$20:$T319,"H",$U$20:$U319,"&gt;="&amp;LOOKUP(2,1/($T$20:$T319="H")),$V$20:$V319,"&lt;=$"&amp;V319)</f>
        <v>0</v>
      </c>
    </row>
    <row r="320" spans="24:24" x14ac:dyDescent="0.2">
      <c r="X320" s="32">
        <f>_xlfn.MAXIFS($U$20:$U320,$T$20:$T320,"H",$U$20:$U320,"&gt;="&amp;LOOKUP(2,1/($T$20:$T320="H")),$V$20:$V320,"&lt;=$"&amp;V320)</f>
        <v>0</v>
      </c>
    </row>
    <row r="321" spans="24:24" x14ac:dyDescent="0.2">
      <c r="X321" s="32">
        <f>_xlfn.MAXIFS($U$20:$U321,$T$20:$T321,"H",$U$20:$U321,"&gt;="&amp;LOOKUP(2,1/($T$20:$T321="H")),$V$20:$V321,"&lt;=$"&amp;V321)</f>
        <v>0</v>
      </c>
    </row>
    <row r="322" spans="24:24" x14ac:dyDescent="0.2">
      <c r="X322" s="32">
        <f>_xlfn.MAXIFS($U$20:$U322,$T$20:$T322,"H",$U$20:$U322,"&gt;="&amp;LOOKUP(2,1/($T$20:$T322="H")),$V$20:$V322,"&lt;=$"&amp;V322)</f>
        <v>0</v>
      </c>
    </row>
    <row r="323" spans="24:24" x14ac:dyDescent="0.2">
      <c r="X323" s="32">
        <f>_xlfn.MAXIFS($U$20:$U323,$T$20:$T323,"H",$U$20:$U323,"&gt;="&amp;LOOKUP(2,1/($T$20:$T323="H")),$V$20:$V323,"&lt;=$"&amp;V323)</f>
        <v>0</v>
      </c>
    </row>
    <row r="324" spans="24:24" x14ac:dyDescent="0.2">
      <c r="X324" s="32">
        <f>_xlfn.MAXIFS($U$20:$U324,$T$20:$T324,"H",$U$20:$U324,"&gt;="&amp;LOOKUP(2,1/($T$20:$T324="H")),$V$20:$V324,"&lt;=$"&amp;V324)</f>
        <v>0</v>
      </c>
    </row>
    <row r="325" spans="24:24" x14ac:dyDescent="0.2">
      <c r="X325" s="32">
        <f>_xlfn.MAXIFS($U$20:$U325,$T$20:$T325,"H",$U$20:$U325,"&gt;="&amp;LOOKUP(2,1/($T$20:$T325="H")),$V$20:$V325,"&lt;=$"&amp;V325)</f>
        <v>0</v>
      </c>
    </row>
    <row r="326" spans="24:24" x14ac:dyDescent="0.2">
      <c r="X326" s="32">
        <f>_xlfn.MAXIFS($U$20:$U326,$T$20:$T326,"H",$U$20:$U326,"&gt;="&amp;LOOKUP(2,1/($T$20:$T326="H")),$V$20:$V326,"&lt;=$"&amp;V326)</f>
        <v>0</v>
      </c>
    </row>
    <row r="327" spans="24:24" x14ac:dyDescent="0.2">
      <c r="X327" s="32">
        <f>_xlfn.MAXIFS($U$20:$U327,$T$20:$T327,"H",$U$20:$U327,"&gt;="&amp;LOOKUP(2,1/($T$20:$T327="H")),$V$20:$V327,"&lt;=$"&amp;V327)</f>
        <v>0</v>
      </c>
    </row>
    <row r="328" spans="24:24" x14ac:dyDescent="0.2">
      <c r="X328" s="32">
        <f>_xlfn.MAXIFS($U$20:$U328,$T$20:$T328,"H",$U$20:$U328,"&gt;="&amp;LOOKUP(2,1/($T$20:$T328="H")),$V$20:$V328,"&lt;=$"&amp;V328)</f>
        <v>0</v>
      </c>
    </row>
    <row r="329" spans="24:24" x14ac:dyDescent="0.2">
      <c r="X329" s="32">
        <f>_xlfn.MAXIFS($U$20:$U329,$T$20:$T329,"H",$U$20:$U329,"&gt;="&amp;LOOKUP(2,1/($T$20:$T329="H")),$V$20:$V329,"&lt;=$"&amp;V329)</f>
        <v>0</v>
      </c>
    </row>
    <row r="330" spans="24:24" x14ac:dyDescent="0.2">
      <c r="X330" s="32">
        <f>_xlfn.MAXIFS($U$20:$U330,$T$20:$T330,"H",$U$20:$U330,"&gt;="&amp;LOOKUP(2,1/($T$20:$T330="H")),$V$20:$V330,"&lt;=$"&amp;V330)</f>
        <v>0</v>
      </c>
    </row>
    <row r="331" spans="24:24" x14ac:dyDescent="0.2">
      <c r="X331" s="32">
        <f>_xlfn.MAXIFS($U$20:$U331,$T$20:$T331,"H",$U$20:$U331,"&gt;="&amp;LOOKUP(2,1/($T$20:$T331="H")),$V$20:$V331,"&lt;=$"&amp;V331)</f>
        <v>0</v>
      </c>
    </row>
    <row r="332" spans="24:24" x14ac:dyDescent="0.2">
      <c r="X332" s="32">
        <f>_xlfn.MAXIFS($U$20:$U332,$T$20:$T332,"H",$U$20:$U332,"&gt;="&amp;LOOKUP(2,1/($T$20:$T332="H")),$V$20:$V332,"&lt;=$"&amp;V332)</f>
        <v>0</v>
      </c>
    </row>
    <row r="333" spans="24:24" x14ac:dyDescent="0.2">
      <c r="X333" s="32">
        <f>_xlfn.MAXIFS($U$20:$U333,$T$20:$T333,"H",$U$20:$U333,"&gt;="&amp;LOOKUP(2,1/($T$20:$T333="H")),$V$20:$V333,"&lt;=$"&amp;V333)</f>
        <v>0</v>
      </c>
    </row>
    <row r="334" spans="24:24" x14ac:dyDescent="0.2">
      <c r="X334" s="32">
        <f>_xlfn.MAXIFS($U$20:$U334,$T$20:$T334,"H",$U$20:$U334,"&gt;="&amp;LOOKUP(2,1/($T$20:$T334="H")),$V$20:$V334,"&lt;=$"&amp;V334)</f>
        <v>0</v>
      </c>
    </row>
    <row r="335" spans="24:24" x14ac:dyDescent="0.2">
      <c r="X335" s="32">
        <f>_xlfn.MAXIFS($U$20:$U335,$T$20:$T335,"H",$U$20:$U335,"&gt;="&amp;LOOKUP(2,1/($T$20:$T335="H")),$V$20:$V335,"&lt;=$"&amp;V335)</f>
        <v>0</v>
      </c>
    </row>
    <row r="336" spans="24:24" x14ac:dyDescent="0.2">
      <c r="X336" s="32">
        <f>_xlfn.MAXIFS($U$20:$U336,$T$20:$T336,"H",$U$20:$U336,"&gt;="&amp;LOOKUP(2,1/($T$20:$T336="H")),$V$20:$V336,"&lt;=$"&amp;V336)</f>
        <v>0</v>
      </c>
    </row>
    <row r="337" spans="24:24" x14ac:dyDescent="0.2">
      <c r="X337" s="32">
        <f>_xlfn.MAXIFS($U$20:$U337,$T$20:$T337,"H",$U$20:$U337,"&gt;="&amp;LOOKUP(2,1/($T$20:$T337="H")),$V$20:$V337,"&lt;=$"&amp;V337)</f>
        <v>0</v>
      </c>
    </row>
    <row r="338" spans="24:24" x14ac:dyDescent="0.2">
      <c r="X338" s="32">
        <f>_xlfn.MAXIFS($U$20:$U338,$T$20:$T338,"H",$U$20:$U338,"&gt;="&amp;LOOKUP(2,1/($T$20:$T338="H")),$V$20:$V338,"&lt;=$"&amp;V338)</f>
        <v>0</v>
      </c>
    </row>
    <row r="339" spans="24:24" x14ac:dyDescent="0.2">
      <c r="X339" s="32">
        <f>_xlfn.MAXIFS($U$20:$U339,$T$20:$T339,"H",$U$20:$U339,"&gt;="&amp;LOOKUP(2,1/($T$20:$T339="H")),$V$20:$V339,"&lt;=$"&amp;V339)</f>
        <v>0</v>
      </c>
    </row>
    <row r="340" spans="24:24" x14ac:dyDescent="0.2">
      <c r="X340" s="32">
        <f>_xlfn.MAXIFS($U$20:$U340,$T$20:$T340,"H",$U$20:$U340,"&gt;="&amp;LOOKUP(2,1/($T$20:$T340="H")),$V$20:$V340,"&lt;=$"&amp;V340)</f>
        <v>0</v>
      </c>
    </row>
    <row r="341" spans="24:24" x14ac:dyDescent="0.2">
      <c r="X341" s="32">
        <f>_xlfn.MAXIFS($U$20:$U341,$T$20:$T341,"H",$U$20:$U341,"&gt;="&amp;LOOKUP(2,1/($T$20:$T341="H")),$V$20:$V341,"&lt;=$"&amp;V341)</f>
        <v>0</v>
      </c>
    </row>
    <row r="342" spans="24:24" x14ac:dyDescent="0.2">
      <c r="X342" s="32">
        <f>_xlfn.MAXIFS($U$20:$U342,$T$20:$T342,"H",$U$20:$U342,"&gt;="&amp;LOOKUP(2,1/($T$20:$T342="H")),$V$20:$V342,"&lt;=$"&amp;V342)</f>
        <v>0</v>
      </c>
    </row>
    <row r="343" spans="24:24" x14ac:dyDescent="0.2">
      <c r="X343" s="32">
        <f>_xlfn.MAXIFS($U$20:$U343,$T$20:$T343,"H",$U$20:$U343,"&gt;="&amp;LOOKUP(2,1/($T$20:$T343="H")),$V$20:$V343,"&lt;=$"&amp;V343)</f>
        <v>0</v>
      </c>
    </row>
    <row r="344" spans="24:24" x14ac:dyDescent="0.2">
      <c r="X344" s="32">
        <f>_xlfn.MAXIFS($U$20:$U344,$T$20:$T344,"H",$U$20:$U344,"&gt;="&amp;LOOKUP(2,1/($T$20:$T344="H")),$V$20:$V344,"&lt;=$"&amp;V344)</f>
        <v>0</v>
      </c>
    </row>
    <row r="345" spans="24:24" x14ac:dyDescent="0.2">
      <c r="X345" s="32">
        <f>_xlfn.MAXIFS($U$20:$U345,$T$20:$T345,"H",$U$20:$U345,"&gt;="&amp;LOOKUP(2,1/($T$20:$T345="H")),$V$20:$V345,"&lt;=$"&amp;V345)</f>
        <v>0</v>
      </c>
    </row>
    <row r="346" spans="24:24" x14ac:dyDescent="0.2">
      <c r="X346" s="32">
        <f>_xlfn.MAXIFS($U$20:$U346,$T$20:$T346,"H",$U$20:$U346,"&gt;="&amp;LOOKUP(2,1/($T$20:$T346="H")),$V$20:$V346,"&lt;=$"&amp;V346)</f>
        <v>0</v>
      </c>
    </row>
    <row r="347" spans="24:24" x14ac:dyDescent="0.2">
      <c r="X347" s="32">
        <f>_xlfn.MAXIFS($U$20:$U347,$T$20:$T347,"H",$U$20:$U347,"&gt;="&amp;LOOKUP(2,1/($T$20:$T347="H")),$V$20:$V347,"&lt;=$"&amp;V347)</f>
        <v>0</v>
      </c>
    </row>
    <row r="348" spans="24:24" x14ac:dyDescent="0.2">
      <c r="X348" s="32">
        <f>_xlfn.MAXIFS($U$20:$U348,$T$20:$T348,"H",$U$20:$U348,"&gt;="&amp;LOOKUP(2,1/($T$20:$T348="H")),$V$20:$V348,"&lt;=$"&amp;V348)</f>
        <v>0</v>
      </c>
    </row>
    <row r="349" spans="24:24" x14ac:dyDescent="0.2">
      <c r="X349" s="32">
        <f>_xlfn.MAXIFS($U$20:$U349,$T$20:$T349,"H",$U$20:$U349,"&gt;="&amp;LOOKUP(2,1/($T$20:$T349="H")),$V$20:$V349,"&lt;=$"&amp;V349)</f>
        <v>0</v>
      </c>
    </row>
    <row r="350" spans="24:24" x14ac:dyDescent="0.2">
      <c r="X350" s="32">
        <f>_xlfn.MAXIFS($U$20:$U350,$T$20:$T350,"H",$U$20:$U350,"&gt;="&amp;LOOKUP(2,1/($T$20:$T350="H")),$V$20:$V350,"&lt;=$"&amp;V350)</f>
        <v>0</v>
      </c>
    </row>
    <row r="351" spans="24:24" x14ac:dyDescent="0.2">
      <c r="X351" s="32">
        <f>_xlfn.MAXIFS($U$20:$U351,$T$20:$T351,"H",$U$20:$U351,"&gt;="&amp;LOOKUP(2,1/($T$20:$T351="H")),$V$20:$V351,"&lt;=$"&amp;V351)</f>
        <v>0</v>
      </c>
    </row>
    <row r="352" spans="24:24" x14ac:dyDescent="0.2">
      <c r="X352" s="32">
        <f>_xlfn.MAXIFS($U$20:$U352,$T$20:$T352,"H",$U$20:$U352,"&gt;="&amp;LOOKUP(2,1/($T$20:$T352="H")),$V$20:$V352,"&lt;=$"&amp;V352)</f>
        <v>0</v>
      </c>
    </row>
    <row r="353" spans="24:24" x14ac:dyDescent="0.2">
      <c r="X353" s="32">
        <f>_xlfn.MAXIFS($U$20:$U353,$T$20:$T353,"H",$U$20:$U353,"&gt;="&amp;LOOKUP(2,1/($T$20:$T353="H")),$V$20:$V353,"&lt;=$"&amp;V353)</f>
        <v>0</v>
      </c>
    </row>
    <row r="354" spans="24:24" x14ac:dyDescent="0.2">
      <c r="X354" s="32">
        <f>_xlfn.MAXIFS($U$20:$U354,$T$20:$T354,"H",$U$20:$U354,"&gt;="&amp;LOOKUP(2,1/($T$20:$T354="H")),$V$20:$V354,"&lt;=$"&amp;V354)</f>
        <v>0</v>
      </c>
    </row>
    <row r="355" spans="24:24" x14ac:dyDescent="0.2">
      <c r="X355" s="32">
        <f>_xlfn.MAXIFS($U$20:$U355,$T$20:$T355,"H",$U$20:$U355,"&gt;="&amp;LOOKUP(2,1/($T$20:$T355="H")),$V$20:$V355,"&lt;=$"&amp;V355)</f>
        <v>0</v>
      </c>
    </row>
    <row r="356" spans="24:24" x14ac:dyDescent="0.2">
      <c r="X356" s="32">
        <f>_xlfn.MAXIFS($U$20:$U356,$T$20:$T356,"H",$U$20:$U356,"&gt;="&amp;LOOKUP(2,1/($T$20:$T356="H")),$V$20:$V356,"&lt;=$"&amp;V356)</f>
        <v>0</v>
      </c>
    </row>
    <row r="357" spans="24:24" x14ac:dyDescent="0.2">
      <c r="X357" s="32">
        <f>_xlfn.MAXIFS($U$20:$U357,$T$20:$T357,"H",$U$20:$U357,"&gt;="&amp;LOOKUP(2,1/($T$20:$T357="H")),$V$20:$V357,"&lt;=$"&amp;V357)</f>
        <v>0</v>
      </c>
    </row>
    <row r="358" spans="24:24" x14ac:dyDescent="0.2">
      <c r="X358" s="32">
        <f>_xlfn.MAXIFS($U$20:$U358,$T$20:$T358,"H",$U$20:$U358,"&gt;="&amp;LOOKUP(2,1/($T$20:$T358="H")),$V$20:$V358,"&lt;=$"&amp;V358)</f>
        <v>0</v>
      </c>
    </row>
    <row r="359" spans="24:24" x14ac:dyDescent="0.2">
      <c r="X359" s="32">
        <f>_xlfn.MAXIFS($U$20:$U359,$T$20:$T359,"H",$U$20:$U359,"&gt;="&amp;LOOKUP(2,1/($T$20:$T359="H")),$V$20:$V359,"&lt;=$"&amp;V359)</f>
        <v>0</v>
      </c>
    </row>
    <row r="360" spans="24:24" x14ac:dyDescent="0.2">
      <c r="X360" s="32">
        <f>_xlfn.MAXIFS($U$20:$U360,$T$20:$T360,"H",$U$20:$U360,"&gt;="&amp;LOOKUP(2,1/($T$20:$T360="H")),$V$20:$V360,"&lt;=$"&amp;V360)</f>
        <v>0</v>
      </c>
    </row>
    <row r="361" spans="24:24" x14ac:dyDescent="0.2">
      <c r="X361" s="32">
        <f>_xlfn.MAXIFS($U$20:$U361,$T$20:$T361,"H",$U$20:$U361,"&gt;="&amp;LOOKUP(2,1/($T$20:$T361="H")),$V$20:$V361,"&lt;=$"&amp;V361)</f>
        <v>0</v>
      </c>
    </row>
    <row r="362" spans="24:24" x14ac:dyDescent="0.2">
      <c r="X362" s="32">
        <f>_xlfn.MAXIFS($U$20:$U362,$T$20:$T362,"H",$U$20:$U362,"&gt;="&amp;LOOKUP(2,1/($T$20:$T362="H")),$V$20:$V362,"&lt;=$"&amp;V362)</f>
        <v>0</v>
      </c>
    </row>
    <row r="363" spans="24:24" x14ac:dyDescent="0.2">
      <c r="X363" s="32">
        <f>_xlfn.MAXIFS($U$20:$U363,$T$20:$T363,"H",$U$20:$U363,"&gt;="&amp;LOOKUP(2,1/($T$20:$T363="H")),$V$20:$V363,"&lt;=$"&amp;V363)</f>
        <v>0</v>
      </c>
    </row>
    <row r="364" spans="24:24" x14ac:dyDescent="0.2">
      <c r="X364" s="32">
        <f>_xlfn.MAXIFS($U$20:$U364,$T$20:$T364,"H",$U$20:$U364,"&gt;="&amp;LOOKUP(2,1/($T$20:$T364="H")),$V$20:$V364,"&lt;=$"&amp;V364)</f>
        <v>0</v>
      </c>
    </row>
    <row r="365" spans="24:24" x14ac:dyDescent="0.2">
      <c r="X365" s="32">
        <f>_xlfn.MAXIFS($U$20:$U365,$T$20:$T365,"H",$U$20:$U365,"&gt;="&amp;LOOKUP(2,1/($T$20:$T365="H")),$V$20:$V365,"&lt;=$"&amp;V365)</f>
        <v>0</v>
      </c>
    </row>
    <row r="366" spans="24:24" x14ac:dyDescent="0.2">
      <c r="X366" s="32">
        <f>_xlfn.MAXIFS($U$20:$U366,$T$20:$T366,"H",$U$20:$U366,"&gt;="&amp;LOOKUP(2,1/($T$20:$T366="H")),$V$20:$V366,"&lt;=$"&amp;V366)</f>
        <v>0</v>
      </c>
    </row>
    <row r="367" spans="24:24" x14ac:dyDescent="0.2">
      <c r="X367" s="32">
        <f>_xlfn.MAXIFS($U$20:$U367,$T$20:$T367,"H",$U$20:$U367,"&gt;="&amp;LOOKUP(2,1/($T$20:$T367="H")),$V$20:$V367,"&lt;=$"&amp;V367)</f>
        <v>0</v>
      </c>
    </row>
    <row r="368" spans="24:24" x14ac:dyDescent="0.2">
      <c r="X368" s="32">
        <f>_xlfn.MAXIFS($U$20:$U368,$T$20:$T368,"H",$U$20:$U368,"&gt;="&amp;LOOKUP(2,1/($T$20:$T368="H")),$V$20:$V368,"&lt;=$"&amp;V368)</f>
        <v>0</v>
      </c>
    </row>
    <row r="369" spans="24:24" x14ac:dyDescent="0.2">
      <c r="X369" s="32">
        <f>_xlfn.MAXIFS($U$20:$U369,$T$20:$T369,"H",$U$20:$U369,"&gt;="&amp;LOOKUP(2,1/($T$20:$T369="H")),$V$20:$V369,"&lt;=$"&amp;V369)</f>
        <v>0</v>
      </c>
    </row>
    <row r="370" spans="24:24" x14ac:dyDescent="0.2">
      <c r="X370" s="32">
        <f>_xlfn.MAXIFS($U$20:$U370,$T$20:$T370,"H",$U$20:$U370,"&gt;="&amp;LOOKUP(2,1/($T$20:$T370="H")),$V$20:$V370,"&lt;=$"&amp;V370)</f>
        <v>0</v>
      </c>
    </row>
    <row r="371" spans="24:24" x14ac:dyDescent="0.2">
      <c r="X371" s="32">
        <f>_xlfn.MAXIFS($U$20:$U371,$T$20:$T371,"H",$U$20:$U371,"&gt;="&amp;LOOKUP(2,1/($T$20:$T371="H")),$V$20:$V371,"&lt;=$"&amp;V371)</f>
        <v>0</v>
      </c>
    </row>
    <row r="372" spans="24:24" x14ac:dyDescent="0.2">
      <c r="X372" s="32">
        <f>_xlfn.MAXIFS($U$20:$U372,$T$20:$T372,"H",$U$20:$U372,"&gt;="&amp;LOOKUP(2,1/($T$20:$T372="H")),$V$20:$V372,"&lt;=$"&amp;V372)</f>
        <v>0</v>
      </c>
    </row>
    <row r="373" spans="24:24" x14ac:dyDescent="0.2">
      <c r="X373" s="32">
        <f>_xlfn.MAXIFS($U$20:$U373,$T$20:$T373,"H",$U$20:$U373,"&gt;="&amp;LOOKUP(2,1/($T$20:$T373="H")),$V$20:$V373,"&lt;=$"&amp;V373)</f>
        <v>0</v>
      </c>
    </row>
    <row r="374" spans="24:24" x14ac:dyDescent="0.2">
      <c r="X374" s="32">
        <f>_xlfn.MAXIFS($U$20:$U374,$T$20:$T374,"H",$U$20:$U374,"&gt;="&amp;LOOKUP(2,1/($T$20:$T374="H")),$V$20:$V374,"&lt;=$"&amp;V374)</f>
        <v>0</v>
      </c>
    </row>
    <row r="375" spans="24:24" x14ac:dyDescent="0.2">
      <c r="X375" s="32">
        <f>_xlfn.MAXIFS($U$20:$U375,$T$20:$T375,"H",$U$20:$U375,"&gt;="&amp;LOOKUP(2,1/($T$20:$T375="H")),$V$20:$V375,"&lt;=$"&amp;V375)</f>
        <v>0</v>
      </c>
    </row>
    <row r="376" spans="24:24" x14ac:dyDescent="0.2">
      <c r="X376" s="32">
        <f>_xlfn.MAXIFS($U$20:$U376,$T$20:$T376,"H",$U$20:$U376,"&gt;="&amp;LOOKUP(2,1/($T$20:$T376="H")),$V$20:$V376,"&lt;=$"&amp;V376)</f>
        <v>0</v>
      </c>
    </row>
    <row r="377" spans="24:24" x14ac:dyDescent="0.2">
      <c r="X377" s="32">
        <f>_xlfn.MAXIFS($U$20:$U377,$T$20:$T377,"H",$U$20:$U377,"&gt;="&amp;LOOKUP(2,1/($T$20:$T377="H")),$V$20:$V377,"&lt;=$"&amp;V377)</f>
        <v>0</v>
      </c>
    </row>
    <row r="378" spans="24:24" x14ac:dyDescent="0.2">
      <c r="X378" s="32">
        <f>_xlfn.MAXIFS($U$20:$U378,$T$20:$T378,"H",$U$20:$U378,"&gt;="&amp;LOOKUP(2,1/($T$20:$T378="H")),$V$20:$V378,"&lt;=$"&amp;V378)</f>
        <v>0</v>
      </c>
    </row>
    <row r="379" spans="24:24" x14ac:dyDescent="0.2">
      <c r="X379" s="32">
        <f>_xlfn.MAXIFS($U$20:$U379,$T$20:$T379,"H",$U$20:$U379,"&gt;="&amp;LOOKUP(2,1/($T$20:$T379="H")),$V$20:$V379,"&lt;=$"&amp;V379)</f>
        <v>0</v>
      </c>
    </row>
    <row r="380" spans="24:24" x14ac:dyDescent="0.2">
      <c r="X380" s="32">
        <f>_xlfn.MAXIFS($U$20:$U380,$T$20:$T380,"H",$U$20:$U380,"&gt;="&amp;LOOKUP(2,1/($T$20:$T380="H")),$V$20:$V380,"&lt;=$"&amp;V380)</f>
        <v>0</v>
      </c>
    </row>
    <row r="381" spans="24:24" x14ac:dyDescent="0.2">
      <c r="X381" s="32">
        <f>_xlfn.MAXIFS($U$20:$U381,$T$20:$T381,"H",$U$20:$U381,"&gt;="&amp;LOOKUP(2,1/($T$20:$T381="H")),$V$20:$V381,"&lt;=$"&amp;V381)</f>
        <v>0</v>
      </c>
    </row>
    <row r="382" spans="24:24" x14ac:dyDescent="0.2">
      <c r="X382" s="32">
        <f>_xlfn.MAXIFS($U$20:$U382,$T$20:$T382,"H",$U$20:$U382,"&gt;="&amp;LOOKUP(2,1/($T$20:$T382="H")),$V$20:$V382,"&lt;=$"&amp;V382)</f>
        <v>0</v>
      </c>
    </row>
    <row r="383" spans="24:24" x14ac:dyDescent="0.2">
      <c r="X383" s="32">
        <f>_xlfn.MAXIFS($U$20:$U383,$T$20:$T383,"H",$U$20:$U383,"&gt;="&amp;LOOKUP(2,1/($T$20:$T383="H")),$V$20:$V383,"&lt;=$"&amp;V383)</f>
        <v>0</v>
      </c>
    </row>
    <row r="384" spans="24:24" x14ac:dyDescent="0.2">
      <c r="X384" s="32">
        <f>_xlfn.MAXIFS($U$20:$U384,$T$20:$T384,"H",$U$20:$U384,"&gt;="&amp;LOOKUP(2,1/($T$20:$T384="H")),$V$20:$V384,"&lt;=$"&amp;V384)</f>
        <v>0</v>
      </c>
    </row>
    <row r="385" spans="24:24" x14ac:dyDescent="0.2">
      <c r="X385" s="32">
        <f>_xlfn.MAXIFS($U$20:$U385,$T$20:$T385,"H",$U$20:$U385,"&gt;="&amp;LOOKUP(2,1/($T$20:$T385="H")),$V$20:$V385,"&lt;=$"&amp;V385)</f>
        <v>0</v>
      </c>
    </row>
    <row r="386" spans="24:24" x14ac:dyDescent="0.2">
      <c r="X386" s="32">
        <f>_xlfn.MAXIFS($U$20:$U386,$T$20:$T386,"H",$U$20:$U386,"&gt;="&amp;LOOKUP(2,1/($T$20:$T386="H")),$V$20:$V386,"&lt;=$"&amp;V386)</f>
        <v>0</v>
      </c>
    </row>
    <row r="387" spans="24:24" x14ac:dyDescent="0.2">
      <c r="X387" s="32">
        <f>_xlfn.MAXIFS($U$20:$U387,$T$20:$T387,"H",$U$20:$U387,"&gt;="&amp;LOOKUP(2,1/($T$20:$T387="H")),$V$20:$V387,"&lt;=$"&amp;V387)</f>
        <v>0</v>
      </c>
    </row>
    <row r="388" spans="24:24" x14ac:dyDescent="0.2">
      <c r="X388" s="32">
        <f>_xlfn.MAXIFS($U$20:$U388,$T$20:$T388,"H",$U$20:$U388,"&gt;="&amp;LOOKUP(2,1/($T$20:$T388="H")),$V$20:$V388,"&lt;=$"&amp;V388)</f>
        <v>0</v>
      </c>
    </row>
    <row r="389" spans="24:24" x14ac:dyDescent="0.2">
      <c r="X389" s="32">
        <f>_xlfn.MAXIFS($U$20:$U389,$T$20:$T389,"H",$U$20:$U389,"&gt;="&amp;LOOKUP(2,1/($T$20:$T389="H")),$V$20:$V389,"&lt;=$"&amp;V389)</f>
        <v>0</v>
      </c>
    </row>
    <row r="390" spans="24:24" x14ac:dyDescent="0.2">
      <c r="X390" s="32">
        <f>_xlfn.MAXIFS($U$20:$U390,$T$20:$T390,"H",$U$20:$U390,"&gt;="&amp;LOOKUP(2,1/($T$20:$T390="H")),$V$20:$V390,"&lt;=$"&amp;V390)</f>
        <v>0</v>
      </c>
    </row>
    <row r="391" spans="24:24" x14ac:dyDescent="0.2">
      <c r="X391" s="32">
        <f>_xlfn.MAXIFS($U$20:$U391,$T$20:$T391,"H",$U$20:$U391,"&gt;="&amp;LOOKUP(2,1/($T$20:$T391="H")),$V$20:$V391,"&lt;=$"&amp;V391)</f>
        <v>0</v>
      </c>
    </row>
    <row r="392" spans="24:24" x14ac:dyDescent="0.2">
      <c r="X392" s="32">
        <f>_xlfn.MAXIFS($U$20:$U392,$T$20:$T392,"H",$U$20:$U392,"&gt;="&amp;LOOKUP(2,1/($T$20:$T392="H")),$V$20:$V392,"&lt;=$"&amp;V392)</f>
        <v>0</v>
      </c>
    </row>
    <row r="393" spans="24:24" x14ac:dyDescent="0.2">
      <c r="X393" s="32">
        <f>_xlfn.MAXIFS($U$20:$U393,$T$20:$T393,"H",$U$20:$U393,"&gt;="&amp;LOOKUP(2,1/($T$20:$T393="H")),$V$20:$V393,"&lt;=$"&amp;V393)</f>
        <v>0</v>
      </c>
    </row>
    <row r="394" spans="24:24" x14ac:dyDescent="0.2">
      <c r="X394" s="32">
        <f>_xlfn.MAXIFS($U$20:$U394,$T$20:$T394,"H",$U$20:$U394,"&gt;="&amp;LOOKUP(2,1/($T$20:$T394="H")),$V$20:$V394,"&lt;=$"&amp;V394)</f>
        <v>0</v>
      </c>
    </row>
    <row r="395" spans="24:24" x14ac:dyDescent="0.2">
      <c r="X395" s="32">
        <f>_xlfn.MAXIFS($U$20:$U395,$T$20:$T395,"H",$U$20:$U395,"&gt;="&amp;LOOKUP(2,1/($T$20:$T395="H")),$V$20:$V395,"&lt;=$"&amp;V395)</f>
        <v>0</v>
      </c>
    </row>
    <row r="396" spans="24:24" x14ac:dyDescent="0.2">
      <c r="X396" s="32">
        <f>_xlfn.MAXIFS($U$20:$U396,$T$20:$T396,"H",$U$20:$U396,"&gt;="&amp;LOOKUP(2,1/($T$20:$T396="H")),$V$20:$V396,"&lt;=$"&amp;V396)</f>
        <v>0</v>
      </c>
    </row>
    <row r="397" spans="24:24" x14ac:dyDescent="0.2">
      <c r="X397" s="32">
        <f>_xlfn.MAXIFS($U$20:$U397,$T$20:$T397,"H",$U$20:$U397,"&gt;="&amp;LOOKUP(2,1/($T$20:$T397="H")),$V$20:$V397,"&lt;=$"&amp;V397)</f>
        <v>0</v>
      </c>
    </row>
    <row r="398" spans="24:24" x14ac:dyDescent="0.2">
      <c r="X398" s="32">
        <f>_xlfn.MAXIFS($U$20:$U398,$T$20:$T398,"H",$U$20:$U398,"&gt;="&amp;LOOKUP(2,1/($T$20:$T398="H")),$V$20:$V398,"&lt;=$"&amp;V398)</f>
        <v>0</v>
      </c>
    </row>
    <row r="399" spans="24:24" x14ac:dyDescent="0.2">
      <c r="X399" s="32">
        <f>_xlfn.MAXIFS($U$20:$U399,$T$20:$T399,"H",$U$20:$U399,"&gt;="&amp;LOOKUP(2,1/($T$20:$T399="H")),$V$20:$V399,"&lt;=$"&amp;V399)</f>
        <v>0</v>
      </c>
    </row>
    <row r="400" spans="24:24" x14ac:dyDescent="0.2">
      <c r="X400" s="32">
        <f>_xlfn.MAXIFS($U$20:$U400,$T$20:$T400,"H",$U$20:$U400,"&gt;="&amp;LOOKUP(2,1/($T$20:$T400="H")),$V$20:$V400,"&lt;=$"&amp;V400)</f>
        <v>0</v>
      </c>
    </row>
    <row r="401" spans="24:24" x14ac:dyDescent="0.2">
      <c r="X401" s="32">
        <f>_xlfn.MAXIFS($U$20:$U401,$T$20:$T401,"H",$U$20:$U401,"&gt;="&amp;LOOKUP(2,1/($T$20:$T401="H")),$V$20:$V401,"&lt;=$"&amp;V401)</f>
        <v>0</v>
      </c>
    </row>
    <row r="402" spans="24:24" x14ac:dyDescent="0.2">
      <c r="X402" s="32">
        <f>_xlfn.MAXIFS($U$20:$U402,$T$20:$T402,"H",$U$20:$U402,"&gt;="&amp;LOOKUP(2,1/($T$20:$T402="H")),$V$20:$V402,"&lt;=$"&amp;V402)</f>
        <v>0</v>
      </c>
    </row>
    <row r="403" spans="24:24" x14ac:dyDescent="0.2">
      <c r="X403" s="32">
        <f>_xlfn.MAXIFS($U$20:$U403,$T$20:$T403,"H",$U$20:$U403,"&gt;="&amp;LOOKUP(2,1/($T$20:$T403="H")),$V$20:$V403,"&lt;=$"&amp;V403)</f>
        <v>0</v>
      </c>
    </row>
    <row r="404" spans="24:24" x14ac:dyDescent="0.2">
      <c r="X404" s="32">
        <f>_xlfn.MAXIFS($U$20:$U404,$T$20:$T404,"H",$U$20:$U404,"&gt;="&amp;LOOKUP(2,1/($T$20:$T404="H")),$V$20:$V404,"&lt;=$"&amp;V404)</f>
        <v>0</v>
      </c>
    </row>
    <row r="405" spans="24:24" x14ac:dyDescent="0.2">
      <c r="X405" s="32">
        <f>_xlfn.MAXIFS($U$20:$U405,$T$20:$T405,"H",$U$20:$U405,"&gt;="&amp;LOOKUP(2,1/($T$20:$T405="H")),$V$20:$V405,"&lt;=$"&amp;V405)</f>
        <v>0</v>
      </c>
    </row>
    <row r="406" spans="24:24" x14ac:dyDescent="0.2">
      <c r="X406" s="32">
        <f>_xlfn.MAXIFS($U$20:$U406,$T$20:$T406,"H",$U$20:$U406,"&gt;="&amp;LOOKUP(2,1/($T$20:$T406="H")),$V$20:$V406,"&lt;=$"&amp;V406)</f>
        <v>0</v>
      </c>
    </row>
    <row r="407" spans="24:24" x14ac:dyDescent="0.2">
      <c r="X407" s="32">
        <f>_xlfn.MAXIFS($U$20:$U407,$T$20:$T407,"H",$U$20:$U407,"&gt;="&amp;LOOKUP(2,1/($T$20:$T407="H")),$V$20:$V407,"&lt;=$"&amp;V407)</f>
        <v>0</v>
      </c>
    </row>
    <row r="408" spans="24:24" x14ac:dyDescent="0.2">
      <c r="X408" s="32">
        <f>_xlfn.MAXIFS($U$20:$U408,$T$20:$T408,"H",$U$20:$U408,"&gt;="&amp;LOOKUP(2,1/($T$20:$T408="H")),$V$20:$V408,"&lt;=$"&amp;V408)</f>
        <v>0</v>
      </c>
    </row>
    <row r="409" spans="24:24" x14ac:dyDescent="0.2">
      <c r="X409" s="32">
        <f>_xlfn.MAXIFS($U$20:$U409,$T$20:$T409,"H",$U$20:$U409,"&gt;="&amp;LOOKUP(2,1/($T$20:$T409="H")),$V$20:$V409,"&lt;=$"&amp;V409)</f>
        <v>0</v>
      </c>
    </row>
    <row r="410" spans="24:24" x14ac:dyDescent="0.2">
      <c r="X410" s="32">
        <f>_xlfn.MAXIFS($U$20:$U410,$T$20:$T410,"H",$U$20:$U410,"&gt;="&amp;LOOKUP(2,1/($T$20:$T410="H")),$V$20:$V410,"&lt;=$"&amp;V410)</f>
        <v>0</v>
      </c>
    </row>
    <row r="411" spans="24:24" x14ac:dyDescent="0.2">
      <c r="X411" s="32">
        <f>_xlfn.MAXIFS($U$20:$U411,$T$20:$T411,"H",$U$20:$U411,"&gt;="&amp;LOOKUP(2,1/($T$20:$T411="H")),$V$20:$V411,"&lt;=$"&amp;V411)</f>
        <v>0</v>
      </c>
    </row>
    <row r="412" spans="24:24" x14ac:dyDescent="0.2">
      <c r="X412" s="32">
        <f>_xlfn.MAXIFS($U$20:$U412,$T$20:$T412,"H",$U$20:$U412,"&gt;="&amp;LOOKUP(2,1/($T$20:$T412="H")),$V$20:$V412,"&lt;=$"&amp;V412)</f>
        <v>0</v>
      </c>
    </row>
    <row r="413" spans="24:24" x14ac:dyDescent="0.2">
      <c r="X413" s="32">
        <f>_xlfn.MAXIFS($U$20:$U413,$T$20:$T413,"H",$U$20:$U413,"&gt;="&amp;LOOKUP(2,1/($T$20:$T413="H")),$V$20:$V413,"&lt;=$"&amp;V413)</f>
        <v>0</v>
      </c>
    </row>
    <row r="414" spans="24:24" x14ac:dyDescent="0.2">
      <c r="X414" s="32">
        <f>_xlfn.MAXIFS($U$20:$U414,$T$20:$T414,"H",$U$20:$U414,"&gt;="&amp;LOOKUP(2,1/($T$20:$T414="H")),$V$20:$V414,"&lt;=$"&amp;V414)</f>
        <v>0</v>
      </c>
    </row>
    <row r="415" spans="24:24" x14ac:dyDescent="0.2">
      <c r="X415" s="32">
        <f>_xlfn.MAXIFS($U$20:$U415,$T$20:$T415,"H",$U$20:$U415,"&gt;="&amp;LOOKUP(2,1/($T$20:$T415="H")),$V$20:$V415,"&lt;=$"&amp;V415)</f>
        <v>0</v>
      </c>
    </row>
    <row r="416" spans="24:24" x14ac:dyDescent="0.2">
      <c r="X416" s="32">
        <f>_xlfn.MAXIFS($U$20:$U416,$T$20:$T416,"H",$U$20:$U416,"&gt;="&amp;LOOKUP(2,1/($T$20:$T416="H")),$V$20:$V416,"&lt;=$"&amp;V416)</f>
        <v>0</v>
      </c>
    </row>
    <row r="417" spans="24:24" x14ac:dyDescent="0.2">
      <c r="X417" s="32">
        <f>_xlfn.MAXIFS($U$20:$U417,$T$20:$T417,"H",$U$20:$U417,"&gt;="&amp;LOOKUP(2,1/($T$20:$T417="H")),$V$20:$V417,"&lt;=$"&amp;V417)</f>
        <v>0</v>
      </c>
    </row>
    <row r="418" spans="24:24" x14ac:dyDescent="0.2">
      <c r="X418" s="32">
        <f>_xlfn.MAXIFS($U$20:$U418,$T$20:$T418,"H",$U$20:$U418,"&gt;="&amp;LOOKUP(2,1/($T$20:$T418="H")),$V$20:$V418,"&lt;=$"&amp;V418)</f>
        <v>0</v>
      </c>
    </row>
    <row r="419" spans="24:24" x14ac:dyDescent="0.2">
      <c r="X419" s="32">
        <f>_xlfn.MAXIFS($U$20:$U419,$T$20:$T419,"H",$U$20:$U419,"&gt;="&amp;LOOKUP(2,1/($T$20:$T419="H")),$V$20:$V419,"&lt;=$"&amp;V419)</f>
        <v>0</v>
      </c>
    </row>
    <row r="420" spans="24:24" x14ac:dyDescent="0.2">
      <c r="X420" s="32">
        <f>_xlfn.MAXIFS($U$20:$U420,$T$20:$T420,"H",$U$20:$U420,"&gt;="&amp;LOOKUP(2,1/($T$20:$T420="H")),$V$20:$V420,"&lt;=$"&amp;V420)</f>
        <v>0</v>
      </c>
    </row>
    <row r="421" spans="24:24" x14ac:dyDescent="0.2">
      <c r="X421" s="32">
        <f>_xlfn.MAXIFS($U$20:$U421,$T$20:$T421,"H",$U$20:$U421,"&gt;="&amp;LOOKUP(2,1/($T$20:$T421="H")),$V$20:$V421,"&lt;=$"&amp;V421)</f>
        <v>0</v>
      </c>
    </row>
    <row r="422" spans="24:24" x14ac:dyDescent="0.2">
      <c r="X422" s="32">
        <f>_xlfn.MAXIFS($U$20:$U422,$T$20:$T422,"H",$U$20:$U422,"&gt;="&amp;LOOKUP(2,1/($T$20:$T422="H")),$V$20:$V422,"&lt;=$"&amp;V422)</f>
        <v>0</v>
      </c>
    </row>
    <row r="423" spans="24:24" x14ac:dyDescent="0.2">
      <c r="X423" s="32">
        <f>_xlfn.MAXIFS($U$20:$U423,$T$20:$T423,"H",$U$20:$U423,"&gt;="&amp;LOOKUP(2,1/($T$20:$T423="H")),$V$20:$V423,"&lt;=$"&amp;V423)</f>
        <v>0</v>
      </c>
    </row>
    <row r="424" spans="24:24" x14ac:dyDescent="0.2">
      <c r="X424" s="32">
        <f>_xlfn.MAXIFS($U$20:$U424,$T$20:$T424,"H",$U$20:$U424,"&gt;="&amp;LOOKUP(2,1/($T$20:$T424="H")),$V$20:$V424,"&lt;=$"&amp;V424)</f>
        <v>0</v>
      </c>
    </row>
    <row r="425" spans="24:24" x14ac:dyDescent="0.2">
      <c r="X425" s="32">
        <f>_xlfn.MAXIFS($U$20:$U425,$T$20:$T425,"H",$U$20:$U425,"&gt;="&amp;LOOKUP(2,1/($T$20:$T425="H")),$V$20:$V425,"&lt;=$"&amp;V425)</f>
        <v>0</v>
      </c>
    </row>
    <row r="426" spans="24:24" x14ac:dyDescent="0.2">
      <c r="X426" s="32">
        <f>_xlfn.MAXIFS($U$20:$U426,$T$20:$T426,"H",$U$20:$U426,"&gt;="&amp;LOOKUP(2,1/($T$20:$T426="H")),$V$20:$V426,"&lt;=$"&amp;V426)</f>
        <v>0</v>
      </c>
    </row>
    <row r="427" spans="24:24" x14ac:dyDescent="0.2">
      <c r="X427" s="32">
        <f>_xlfn.MAXIFS($U$20:$U427,$T$20:$T427,"H",$U$20:$U427,"&gt;="&amp;LOOKUP(2,1/($T$20:$T427="H")),$V$20:$V427,"&lt;=$"&amp;V427)</f>
        <v>0</v>
      </c>
    </row>
    <row r="428" spans="24:24" x14ac:dyDescent="0.2">
      <c r="X428" s="32">
        <f>_xlfn.MAXIFS($U$20:$U428,$T$20:$T428,"H",$U$20:$U428,"&gt;="&amp;LOOKUP(2,1/($T$20:$T428="H")),$V$20:$V428,"&lt;=$"&amp;V428)</f>
        <v>0</v>
      </c>
    </row>
    <row r="429" spans="24:24" x14ac:dyDescent="0.2">
      <c r="X429" s="32">
        <f>_xlfn.MAXIFS($U$20:$U429,$T$20:$T429,"H",$U$20:$U429,"&gt;="&amp;LOOKUP(2,1/($T$20:$T429="H")),$V$20:$V429,"&lt;=$"&amp;V429)</f>
        <v>0</v>
      </c>
    </row>
    <row r="430" spans="24:24" x14ac:dyDescent="0.2">
      <c r="X430" s="32">
        <f>_xlfn.MAXIFS($U$20:$U430,$T$20:$T430,"H",$U$20:$U430,"&gt;="&amp;LOOKUP(2,1/($T$20:$T430="H")),$V$20:$V430,"&lt;=$"&amp;V430)</f>
        <v>0</v>
      </c>
    </row>
    <row r="431" spans="24:24" x14ac:dyDescent="0.2">
      <c r="X431" s="32">
        <f>_xlfn.MAXIFS($U$20:$U431,$T$20:$T431,"H",$U$20:$U431,"&gt;="&amp;LOOKUP(2,1/($T$20:$T431="H")),$V$20:$V431,"&lt;=$"&amp;V431)</f>
        <v>0</v>
      </c>
    </row>
    <row r="432" spans="24:24" x14ac:dyDescent="0.2">
      <c r="X432" s="32">
        <f>_xlfn.MAXIFS($U$20:$U432,$T$20:$T432,"H",$U$20:$U432,"&gt;="&amp;LOOKUP(2,1/($T$20:$T432="H")),$V$20:$V432,"&lt;=$"&amp;V432)</f>
        <v>0</v>
      </c>
    </row>
    <row r="433" spans="24:24" x14ac:dyDescent="0.2">
      <c r="X433" s="32">
        <f>_xlfn.MAXIFS($U$20:$U433,$T$20:$T433,"H",$U$20:$U433,"&gt;="&amp;LOOKUP(2,1/($T$20:$T433="H")),$V$20:$V433,"&lt;=$"&amp;V433)</f>
        <v>0</v>
      </c>
    </row>
    <row r="434" spans="24:24" x14ac:dyDescent="0.2">
      <c r="X434" s="32">
        <f>_xlfn.MAXIFS($U$20:$U434,$T$20:$T434,"H",$U$20:$U434,"&gt;="&amp;LOOKUP(2,1/($T$20:$T434="H")),$V$20:$V434,"&lt;=$"&amp;V434)</f>
        <v>0</v>
      </c>
    </row>
    <row r="435" spans="24:24" x14ac:dyDescent="0.2">
      <c r="X435" s="32">
        <f>_xlfn.MAXIFS($U$20:$U435,$T$20:$T435,"H",$U$20:$U435,"&gt;="&amp;LOOKUP(2,1/($T$20:$T435="H")),$V$20:$V435,"&lt;=$"&amp;V435)</f>
        <v>0</v>
      </c>
    </row>
    <row r="436" spans="24:24" x14ac:dyDescent="0.2">
      <c r="X436" s="32">
        <f>_xlfn.MAXIFS($U$20:$U436,$T$20:$T436,"H",$U$20:$U436,"&gt;="&amp;LOOKUP(2,1/($T$20:$T436="H")),$V$20:$V436,"&lt;=$"&amp;V436)</f>
        <v>0</v>
      </c>
    </row>
    <row r="437" spans="24:24" x14ac:dyDescent="0.2">
      <c r="X437" s="32">
        <f>_xlfn.MAXIFS($U$20:$U437,$T$20:$T437,"H",$U$20:$U437,"&gt;="&amp;LOOKUP(2,1/($T$20:$T437="H")),$V$20:$V437,"&lt;=$"&amp;V437)</f>
        <v>0</v>
      </c>
    </row>
    <row r="438" spans="24:24" x14ac:dyDescent="0.2">
      <c r="X438" s="32">
        <f>_xlfn.MAXIFS($U$20:$U438,$T$20:$T438,"H",$U$20:$U438,"&gt;="&amp;LOOKUP(2,1/($T$20:$T438="H")),$V$20:$V438,"&lt;=$"&amp;V438)</f>
        <v>0</v>
      </c>
    </row>
    <row r="439" spans="24:24" x14ac:dyDescent="0.2">
      <c r="X439" s="32">
        <f>_xlfn.MAXIFS($U$20:$U439,$T$20:$T439,"H",$U$20:$U439,"&gt;="&amp;LOOKUP(2,1/($T$20:$T439="H")),$V$20:$V439,"&lt;=$"&amp;V439)</f>
        <v>0</v>
      </c>
    </row>
    <row r="440" spans="24:24" x14ac:dyDescent="0.2">
      <c r="X440" s="32">
        <f>_xlfn.MAXIFS($U$20:$U440,$T$20:$T440,"H",$U$20:$U440,"&gt;="&amp;LOOKUP(2,1/($T$20:$T440="H")),$V$20:$V440,"&lt;=$"&amp;V440)</f>
        <v>0</v>
      </c>
    </row>
    <row r="441" spans="24:24" x14ac:dyDescent="0.2">
      <c r="X441" s="32">
        <f>_xlfn.MAXIFS($U$20:$U441,$T$20:$T441,"H",$U$20:$U441,"&gt;="&amp;LOOKUP(2,1/($T$20:$T441="H")),$V$20:$V441,"&lt;=$"&amp;V441)</f>
        <v>0</v>
      </c>
    </row>
    <row r="442" spans="24:24" x14ac:dyDescent="0.2">
      <c r="X442" s="32">
        <f>_xlfn.MAXIFS($U$20:$U442,$T$20:$T442,"H",$U$20:$U442,"&gt;="&amp;LOOKUP(2,1/($T$20:$T442="H")),$V$20:$V442,"&lt;=$"&amp;V442)</f>
        <v>0</v>
      </c>
    </row>
    <row r="443" spans="24:24" x14ac:dyDescent="0.2">
      <c r="X443" s="32">
        <f>_xlfn.MAXIFS($U$20:$U443,$T$20:$T443,"H",$U$20:$U443,"&gt;="&amp;LOOKUP(2,1/($T$20:$T443="H")),$V$20:$V443,"&lt;=$"&amp;V443)</f>
        <v>0</v>
      </c>
    </row>
    <row r="444" spans="24:24" x14ac:dyDescent="0.2">
      <c r="X444" s="32">
        <f>_xlfn.MAXIFS($U$20:$U444,$T$20:$T444,"H",$U$20:$U444,"&gt;="&amp;LOOKUP(2,1/($T$20:$T444="H")),$V$20:$V444,"&lt;=$"&amp;V444)</f>
        <v>0</v>
      </c>
    </row>
    <row r="445" spans="24:24" x14ac:dyDescent="0.2">
      <c r="X445" s="32">
        <f>_xlfn.MAXIFS($U$20:$U445,$T$20:$T445,"H",$U$20:$U445,"&gt;="&amp;LOOKUP(2,1/($T$20:$T445="H")),$V$20:$V445,"&lt;=$"&amp;V445)</f>
        <v>0</v>
      </c>
    </row>
    <row r="446" spans="24:24" x14ac:dyDescent="0.2">
      <c r="X446" s="32">
        <f>_xlfn.MAXIFS($U$20:$U446,$T$20:$T446,"H",$U$20:$U446,"&gt;="&amp;LOOKUP(2,1/($T$20:$T446="H")),$V$20:$V446,"&lt;=$"&amp;V446)</f>
        <v>0</v>
      </c>
    </row>
    <row r="447" spans="24:24" x14ac:dyDescent="0.2">
      <c r="X447" s="32">
        <f>_xlfn.MAXIFS($U$20:$U447,$T$20:$T447,"H",$U$20:$U447,"&gt;="&amp;LOOKUP(2,1/($T$20:$T447="H")),$V$20:$V447,"&lt;=$"&amp;V447)</f>
        <v>0</v>
      </c>
    </row>
    <row r="448" spans="24:24" x14ac:dyDescent="0.2">
      <c r="X448" s="32">
        <f>_xlfn.MAXIFS($U$20:$U448,$T$20:$T448,"H",$U$20:$U448,"&gt;="&amp;LOOKUP(2,1/($T$20:$T448="H")),$V$20:$V448,"&lt;=$"&amp;V448)</f>
        <v>0</v>
      </c>
    </row>
    <row r="449" spans="24:24" x14ac:dyDescent="0.2">
      <c r="X449" s="32">
        <f>_xlfn.MAXIFS($U$20:$U449,$T$20:$T449,"H",$U$20:$U449,"&gt;="&amp;LOOKUP(2,1/($T$20:$T449="H")),$V$20:$V449,"&lt;=$"&amp;V449)</f>
        <v>0</v>
      </c>
    </row>
    <row r="450" spans="24:24" x14ac:dyDescent="0.2">
      <c r="X450" s="32">
        <f>_xlfn.MAXIFS($U$20:$U450,$T$20:$T450,"H",$U$20:$U450,"&gt;="&amp;LOOKUP(2,1/($T$20:$T450="H")),$V$20:$V450,"&lt;=$"&amp;V450)</f>
        <v>0</v>
      </c>
    </row>
    <row r="451" spans="24:24" x14ac:dyDescent="0.2">
      <c r="X451" s="32">
        <f>_xlfn.MAXIFS($U$20:$U451,$T$20:$T451,"H",$U$20:$U451,"&gt;="&amp;LOOKUP(2,1/($T$20:$T451="H")),$V$20:$V451,"&lt;=$"&amp;V451)</f>
        <v>0</v>
      </c>
    </row>
    <row r="452" spans="24:24" x14ac:dyDescent="0.2">
      <c r="X452" s="32">
        <f>_xlfn.MAXIFS($U$20:$U452,$T$20:$T452,"H",$U$20:$U452,"&gt;="&amp;LOOKUP(2,1/($T$20:$T452="H")),$V$20:$V452,"&lt;=$"&amp;V452)</f>
        <v>0</v>
      </c>
    </row>
    <row r="453" spans="24:24" x14ac:dyDescent="0.2">
      <c r="X453" s="32">
        <f>_xlfn.MAXIFS($U$20:$U453,$T$20:$T453,"H",$U$20:$U453,"&gt;="&amp;LOOKUP(2,1/($T$20:$T453="H")),$V$20:$V453,"&lt;=$"&amp;V453)</f>
        <v>0</v>
      </c>
    </row>
    <row r="454" spans="24:24" x14ac:dyDescent="0.2">
      <c r="X454" s="32">
        <f>_xlfn.MAXIFS($U$20:$U454,$T$20:$T454,"H",$U$20:$U454,"&gt;="&amp;LOOKUP(2,1/($T$20:$T454="H")),$V$20:$V454,"&lt;=$"&amp;V454)</f>
        <v>0</v>
      </c>
    </row>
    <row r="455" spans="24:24" x14ac:dyDescent="0.2">
      <c r="X455" s="32">
        <f>_xlfn.MAXIFS($U$20:$U455,$T$20:$T455,"H",$U$20:$U455,"&gt;="&amp;LOOKUP(2,1/($T$20:$T455="H")),$V$20:$V455,"&lt;=$"&amp;V455)</f>
        <v>0</v>
      </c>
    </row>
    <row r="456" spans="24:24" x14ac:dyDescent="0.2">
      <c r="X456" s="32">
        <f>_xlfn.MAXIFS($U$20:$U456,$T$20:$T456,"H",$U$20:$U456,"&gt;="&amp;LOOKUP(2,1/($T$20:$T456="H")),$V$20:$V456,"&lt;=$"&amp;V456)</f>
        <v>0</v>
      </c>
    </row>
    <row r="457" spans="24:24" x14ac:dyDescent="0.2">
      <c r="X457" s="32">
        <f>_xlfn.MAXIFS($U$20:$U457,$T$20:$T457,"H",$U$20:$U457,"&gt;="&amp;LOOKUP(2,1/($T$20:$T457="H")),$V$20:$V457,"&lt;=$"&amp;V457)</f>
        <v>0</v>
      </c>
    </row>
    <row r="458" spans="24:24" x14ac:dyDescent="0.2">
      <c r="X458" s="32">
        <f>_xlfn.MAXIFS($U$20:$U458,$T$20:$T458,"H",$U$20:$U458,"&gt;="&amp;LOOKUP(2,1/($T$20:$T458="H")),$V$20:$V458,"&lt;=$"&amp;V458)</f>
        <v>0</v>
      </c>
    </row>
    <row r="459" spans="24:24" x14ac:dyDescent="0.2">
      <c r="X459" s="32">
        <f>_xlfn.MAXIFS($U$20:$U459,$T$20:$T459,"H",$U$20:$U459,"&gt;="&amp;LOOKUP(2,1/($T$20:$T459="H")),$V$20:$V459,"&lt;=$"&amp;V459)</f>
        <v>0</v>
      </c>
    </row>
    <row r="460" spans="24:24" x14ac:dyDescent="0.2">
      <c r="X460" s="32">
        <f>_xlfn.MAXIFS($U$20:$U460,$T$20:$T460,"H",$U$20:$U460,"&gt;="&amp;LOOKUP(2,1/($T$20:$T460="H")),$V$20:$V460,"&lt;=$"&amp;V460)</f>
        <v>0</v>
      </c>
    </row>
    <row r="461" spans="24:24" x14ac:dyDescent="0.2">
      <c r="X461" s="32">
        <f>_xlfn.MAXIFS($U$20:$U461,$T$20:$T461,"H",$U$20:$U461,"&gt;="&amp;LOOKUP(2,1/($T$20:$T461="H")),$V$20:$V461,"&lt;=$"&amp;V461)</f>
        <v>0</v>
      </c>
    </row>
    <row r="462" spans="24:24" x14ac:dyDescent="0.2">
      <c r="X462" s="32">
        <f>_xlfn.MAXIFS($U$20:$U462,$T$20:$T462,"H",$U$20:$U462,"&gt;="&amp;LOOKUP(2,1/($T$20:$T462="H")),$V$20:$V462,"&lt;=$"&amp;V462)</f>
        <v>0</v>
      </c>
    </row>
    <row r="463" spans="24:24" x14ac:dyDescent="0.2">
      <c r="X463" s="32">
        <f>_xlfn.MAXIFS($U$20:$U463,$T$20:$T463,"H",$U$20:$U463,"&gt;="&amp;LOOKUP(2,1/($T$20:$T463="H")),$V$20:$V463,"&lt;=$"&amp;V463)</f>
        <v>0</v>
      </c>
    </row>
    <row r="464" spans="24:24" x14ac:dyDescent="0.2">
      <c r="X464" s="32">
        <f>_xlfn.MAXIFS($U$20:$U464,$T$20:$T464,"H",$U$20:$U464,"&gt;="&amp;LOOKUP(2,1/($T$20:$T464="H")),$V$20:$V464,"&lt;=$"&amp;V464)</f>
        <v>0</v>
      </c>
    </row>
    <row r="465" spans="24:24" x14ac:dyDescent="0.2">
      <c r="X465" s="32">
        <f>_xlfn.MAXIFS($U$20:$U465,$T$20:$T465,"H",$U$20:$U465,"&gt;="&amp;LOOKUP(2,1/($T$20:$T465="H")),$V$20:$V465,"&lt;=$"&amp;V465)</f>
        <v>0</v>
      </c>
    </row>
    <row r="466" spans="24:24" x14ac:dyDescent="0.2">
      <c r="X466" s="32">
        <f>_xlfn.MAXIFS($U$20:$U466,$T$20:$T466,"H",$U$20:$U466,"&gt;="&amp;LOOKUP(2,1/($T$20:$T466="H")),$V$20:$V466,"&lt;=$"&amp;V466)</f>
        <v>0</v>
      </c>
    </row>
    <row r="467" spans="24:24" x14ac:dyDescent="0.2">
      <c r="X467" s="32">
        <f>_xlfn.MAXIFS($U$20:$U467,$T$20:$T467,"H",$U$20:$U467,"&gt;="&amp;LOOKUP(2,1/($T$20:$T467="H")),$V$20:$V467,"&lt;=$"&amp;V467)</f>
        <v>0</v>
      </c>
    </row>
    <row r="468" spans="24:24" x14ac:dyDescent="0.2">
      <c r="X468" s="32">
        <f>_xlfn.MAXIFS($U$20:$U468,$T$20:$T468,"H",$U$20:$U468,"&gt;="&amp;LOOKUP(2,1/($T$20:$T468="H")),$V$20:$V468,"&lt;=$"&amp;V468)</f>
        <v>0</v>
      </c>
    </row>
    <row r="469" spans="24:24" x14ac:dyDescent="0.2">
      <c r="X469" s="32">
        <f>_xlfn.MAXIFS($U$20:$U469,$T$20:$T469,"H",$U$20:$U469,"&gt;="&amp;LOOKUP(2,1/($T$20:$T469="H")),$V$20:$V469,"&lt;=$"&amp;V469)</f>
        <v>0</v>
      </c>
    </row>
    <row r="470" spans="24:24" x14ac:dyDescent="0.2">
      <c r="X470" s="32">
        <f>_xlfn.MAXIFS($U$20:$U470,$T$20:$T470,"H",$U$20:$U470,"&gt;="&amp;LOOKUP(2,1/($T$20:$T470="H")),$V$20:$V470,"&lt;=$"&amp;V470)</f>
        <v>0</v>
      </c>
    </row>
    <row r="471" spans="24:24" x14ac:dyDescent="0.2">
      <c r="X471" s="32">
        <f>_xlfn.MAXIFS($U$20:$U471,$T$20:$T471,"H",$U$20:$U471,"&gt;="&amp;LOOKUP(2,1/($T$20:$T471="H")),$V$20:$V471,"&lt;=$"&amp;V471)</f>
        <v>0</v>
      </c>
    </row>
    <row r="472" spans="24:24" x14ac:dyDescent="0.2">
      <c r="X472" s="32">
        <f>_xlfn.MAXIFS($U$20:$U472,$T$20:$T472,"H",$U$20:$U472,"&gt;="&amp;LOOKUP(2,1/($T$20:$T472="H")),$V$20:$V472,"&lt;=$"&amp;V472)</f>
        <v>0</v>
      </c>
    </row>
    <row r="473" spans="24:24" x14ac:dyDescent="0.2">
      <c r="X473" s="32">
        <f>_xlfn.MAXIFS($U$20:$U473,$T$20:$T473,"H",$U$20:$U473,"&gt;="&amp;LOOKUP(2,1/($T$20:$T473="H")),$V$20:$V473,"&lt;=$"&amp;V473)</f>
        <v>0</v>
      </c>
    </row>
    <row r="474" spans="24:24" x14ac:dyDescent="0.2">
      <c r="X474" s="32">
        <f>_xlfn.MAXIFS($U$20:$U474,$T$20:$T474,"H",$U$20:$U474,"&gt;="&amp;LOOKUP(2,1/($T$20:$T474="H")),$V$20:$V474,"&lt;=$"&amp;V474)</f>
        <v>0</v>
      </c>
    </row>
    <row r="475" spans="24:24" x14ac:dyDescent="0.2">
      <c r="X475" s="32">
        <f>_xlfn.MAXIFS($U$20:$U475,$T$20:$T475,"H",$U$20:$U475,"&gt;="&amp;LOOKUP(2,1/($T$20:$T475="H")),$V$20:$V475,"&lt;=$"&amp;V475)</f>
        <v>0</v>
      </c>
    </row>
    <row r="476" spans="24:24" x14ac:dyDescent="0.2">
      <c r="X476" s="32">
        <f>_xlfn.MAXIFS($U$20:$U476,$T$20:$T476,"H",$U$20:$U476,"&gt;="&amp;LOOKUP(2,1/($T$20:$T476="H")),$V$20:$V476,"&lt;=$"&amp;V476)</f>
        <v>0</v>
      </c>
    </row>
    <row r="477" spans="24:24" x14ac:dyDescent="0.2">
      <c r="X477" s="32">
        <f>_xlfn.MAXIFS($U$20:$U477,$T$20:$T477,"H",$U$20:$U477,"&gt;="&amp;LOOKUP(2,1/($T$20:$T477="H")),$V$20:$V477,"&lt;=$"&amp;V477)</f>
        <v>0</v>
      </c>
    </row>
    <row r="478" spans="24:24" x14ac:dyDescent="0.2">
      <c r="X478" s="32">
        <f>_xlfn.MAXIFS($U$20:$U478,$T$20:$T478,"H",$U$20:$U478,"&gt;="&amp;LOOKUP(2,1/($T$20:$T478="H")),$V$20:$V478,"&lt;=$"&amp;V478)</f>
        <v>0</v>
      </c>
    </row>
    <row r="479" spans="24:24" x14ac:dyDescent="0.2">
      <c r="X479" s="32">
        <f>_xlfn.MAXIFS($U$20:$U479,$T$20:$T479,"H",$U$20:$U479,"&gt;="&amp;LOOKUP(2,1/($T$20:$T479="H")),$V$20:$V479,"&lt;=$"&amp;V479)</f>
        <v>0</v>
      </c>
    </row>
    <row r="480" spans="24:24" x14ac:dyDescent="0.2">
      <c r="X480" s="32">
        <f>_xlfn.MAXIFS($U$20:$U480,$T$20:$T480,"H",$U$20:$U480,"&gt;="&amp;LOOKUP(2,1/($T$20:$T480="H")),$V$20:$V480,"&lt;=$"&amp;V480)</f>
        <v>0</v>
      </c>
    </row>
    <row r="481" spans="24:24" x14ac:dyDescent="0.2">
      <c r="X481" s="32">
        <f>_xlfn.MAXIFS($U$20:$U481,$T$20:$T481,"H",$U$20:$U481,"&gt;="&amp;LOOKUP(2,1/($T$20:$T481="H")),$V$20:$V481,"&lt;=$"&amp;V481)</f>
        <v>0</v>
      </c>
    </row>
    <row r="482" spans="24:24" x14ac:dyDescent="0.2">
      <c r="X482" s="32">
        <f>_xlfn.MAXIFS($U$20:$U482,$T$20:$T482,"H",$U$20:$U482,"&gt;="&amp;LOOKUP(2,1/($T$20:$T482="H")),$V$20:$V482,"&lt;=$"&amp;V482)</f>
        <v>0</v>
      </c>
    </row>
    <row r="483" spans="24:24" x14ac:dyDescent="0.2">
      <c r="X483" s="32">
        <f>_xlfn.MAXIFS($U$20:$U483,$T$20:$T483,"H",$U$20:$U483,"&gt;="&amp;LOOKUP(2,1/($T$20:$T483="H")),$V$20:$V483,"&lt;=$"&amp;V483)</f>
        <v>0</v>
      </c>
    </row>
    <row r="484" spans="24:24" x14ac:dyDescent="0.2">
      <c r="X484" s="32">
        <f>_xlfn.MAXIFS($U$20:$U484,$T$20:$T484,"H",$U$20:$U484,"&gt;="&amp;LOOKUP(2,1/($T$20:$T484="H")),$V$20:$V484,"&lt;=$"&amp;V484)</f>
        <v>0</v>
      </c>
    </row>
    <row r="485" spans="24:24" x14ac:dyDescent="0.2">
      <c r="X485" s="32">
        <f>_xlfn.MAXIFS($U$20:$U485,$T$20:$T485,"H",$U$20:$U485,"&gt;="&amp;LOOKUP(2,1/($T$20:$T485="H")),$V$20:$V485,"&lt;=$"&amp;V485)</f>
        <v>0</v>
      </c>
    </row>
    <row r="486" spans="24:24" x14ac:dyDescent="0.2">
      <c r="X486" s="32">
        <f>_xlfn.MAXIFS($U$20:$U486,$T$20:$T486,"H",$U$20:$U486,"&gt;="&amp;LOOKUP(2,1/($T$20:$T486="H")),$V$20:$V486,"&lt;=$"&amp;V486)</f>
        <v>0</v>
      </c>
    </row>
    <row r="487" spans="24:24" x14ac:dyDescent="0.2">
      <c r="X487" s="32">
        <f>_xlfn.MAXIFS($U$20:$U487,$T$20:$T487,"H",$U$20:$U487,"&gt;="&amp;LOOKUP(2,1/($T$20:$T487="H")),$V$20:$V487,"&lt;=$"&amp;V487)</f>
        <v>0</v>
      </c>
    </row>
    <row r="488" spans="24:24" x14ac:dyDescent="0.2">
      <c r="X488" s="32">
        <f>_xlfn.MAXIFS($U$20:$U488,$T$20:$T488,"H",$U$20:$U488,"&gt;="&amp;LOOKUP(2,1/($T$20:$T488="H")),$V$20:$V488,"&lt;=$"&amp;V488)</f>
        <v>0</v>
      </c>
    </row>
    <row r="489" spans="24:24" x14ac:dyDescent="0.2">
      <c r="X489" s="32">
        <f>_xlfn.MAXIFS($U$20:$U489,$T$20:$T489,"H",$U$20:$U489,"&gt;="&amp;LOOKUP(2,1/($T$20:$T489="H")),$V$20:$V489,"&lt;=$"&amp;V489)</f>
        <v>0</v>
      </c>
    </row>
    <row r="490" spans="24:24" x14ac:dyDescent="0.2">
      <c r="X490" s="32">
        <f>_xlfn.MAXIFS($U$20:$U490,$T$20:$T490,"H",$U$20:$U490,"&gt;="&amp;LOOKUP(2,1/($T$20:$T490="H")),$V$20:$V490,"&lt;=$"&amp;V490)</f>
        <v>0</v>
      </c>
    </row>
    <row r="491" spans="24:24" x14ac:dyDescent="0.2">
      <c r="X491" s="32">
        <f>_xlfn.MAXIFS($U$20:$U491,$T$20:$T491,"H",$U$20:$U491,"&gt;="&amp;LOOKUP(2,1/($T$20:$T491="H")),$V$20:$V491,"&lt;=$"&amp;V491)</f>
        <v>0</v>
      </c>
    </row>
    <row r="492" spans="24:24" x14ac:dyDescent="0.2">
      <c r="X492" s="32">
        <f>_xlfn.MAXIFS($U$20:$U492,$T$20:$T492,"H",$U$20:$U492,"&gt;="&amp;LOOKUP(2,1/($T$20:$T492="H")),$V$20:$V492,"&lt;=$"&amp;V492)</f>
        <v>0</v>
      </c>
    </row>
    <row r="493" spans="24:24" x14ac:dyDescent="0.2">
      <c r="X493" s="32">
        <f>_xlfn.MAXIFS($U$20:$U493,$T$20:$T493,"H",$U$20:$U493,"&gt;="&amp;LOOKUP(2,1/($T$20:$T493="H")),$V$20:$V493,"&lt;=$"&amp;V493)</f>
        <v>0</v>
      </c>
    </row>
    <row r="494" spans="24:24" x14ac:dyDescent="0.2">
      <c r="X494" s="32">
        <f>_xlfn.MAXIFS($U$20:$U494,$T$20:$T494,"H",$U$20:$U494,"&gt;="&amp;LOOKUP(2,1/($T$20:$T494="H")),$V$20:$V494,"&lt;=$"&amp;V494)</f>
        <v>0</v>
      </c>
    </row>
    <row r="495" spans="24:24" x14ac:dyDescent="0.2">
      <c r="X495" s="32">
        <f>_xlfn.MAXIFS($U$20:$U495,$T$20:$T495,"H",$U$20:$U495,"&gt;="&amp;LOOKUP(2,1/($T$20:$T495="H")),$V$20:$V495,"&lt;=$"&amp;V495)</f>
        <v>0</v>
      </c>
    </row>
    <row r="496" spans="24:24" x14ac:dyDescent="0.2">
      <c r="X496" s="32">
        <f>_xlfn.MAXIFS($U$20:$U496,$T$20:$T496,"H",$U$20:$U496,"&gt;="&amp;LOOKUP(2,1/($T$20:$T496="H")),$V$20:$V496,"&lt;=$"&amp;V496)</f>
        <v>0</v>
      </c>
    </row>
    <row r="497" spans="24:24" x14ac:dyDescent="0.2">
      <c r="X497" s="32">
        <f>_xlfn.MAXIFS($U$20:$U497,$T$20:$T497,"H",$U$20:$U497,"&gt;="&amp;LOOKUP(2,1/($T$20:$T497="H")),$V$20:$V497,"&lt;=$"&amp;V497)</f>
        <v>0</v>
      </c>
    </row>
    <row r="498" spans="24:24" x14ac:dyDescent="0.2">
      <c r="X498" s="32">
        <f>_xlfn.MAXIFS($U$20:$U498,$T$20:$T498,"H",$U$20:$U498,"&gt;="&amp;LOOKUP(2,1/($T$20:$T498="H")),$V$20:$V498,"&lt;=$"&amp;V498)</f>
        <v>0</v>
      </c>
    </row>
    <row r="499" spans="24:24" x14ac:dyDescent="0.2">
      <c r="X499" s="32">
        <f>_xlfn.MAXIFS($U$20:$U499,$T$20:$T499,"H",$U$20:$U499,"&gt;="&amp;LOOKUP(2,1/($T$20:$T499="H")),$V$20:$V499,"&lt;=$"&amp;V499)</f>
        <v>0</v>
      </c>
    </row>
    <row r="500" spans="24:24" x14ac:dyDescent="0.2">
      <c r="X500" s="32">
        <f>_xlfn.MAXIFS($U$20:$U500,$T$20:$T500,"H",$U$20:$U500,"&gt;="&amp;LOOKUP(2,1/($T$20:$T500="H")),$V$20:$V500,"&lt;=$"&amp;V500)</f>
        <v>0</v>
      </c>
    </row>
  </sheetData>
  <mergeCells count="1">
    <mergeCell ref="D1:K1"/>
  </mergeCells>
  <conditionalFormatting sqref="B20:N20">
    <cfRule type="expression" dxfId="60" priority="48">
      <formula>$T20="T"</formula>
    </cfRule>
  </conditionalFormatting>
  <conditionalFormatting sqref="R20">
    <cfRule type="expression" dxfId="59" priority="53">
      <formula>$T20="T"</formula>
    </cfRule>
  </conditionalFormatting>
  <conditionalFormatting sqref="E22:N22 N21 BK20">
    <cfRule type="expression" dxfId="58" priority="60">
      <formula>$T20="T"</formula>
    </cfRule>
  </conditionalFormatting>
  <conditionalFormatting sqref="C21">
    <cfRule type="expression" dxfId="57" priority="59">
      <formula>$T21="T"</formula>
    </cfRule>
  </conditionalFormatting>
  <conditionalFormatting sqref="E22:N22 N21">
    <cfRule type="expression" dxfId="56" priority="58">
      <formula>$T23="T"</formula>
    </cfRule>
  </conditionalFormatting>
  <conditionalFormatting sqref="D21">
    <cfRule type="expression" dxfId="55" priority="57">
      <formula>$T21="T"</formula>
    </cfRule>
  </conditionalFormatting>
  <conditionalFormatting sqref="N21">
    <cfRule type="expression" dxfId="54" priority="61">
      <formula>$T25="T"</formula>
    </cfRule>
  </conditionalFormatting>
  <conditionalFormatting sqref="Q22">
    <cfRule type="expression" dxfId="53" priority="52">
      <formula>$T22="T"</formula>
    </cfRule>
  </conditionalFormatting>
  <conditionalFormatting sqref="O20:P20">
    <cfRule type="expression" dxfId="52" priority="21">
      <formula>$T20="T"</formula>
    </cfRule>
  </conditionalFormatting>
  <conditionalFormatting sqref="Q20">
    <cfRule type="expression" dxfId="51" priority="20">
      <formula>$T20="T"</formula>
    </cfRule>
  </conditionalFormatting>
  <conditionalFormatting sqref="O20">
    <cfRule type="expression" dxfId="50" priority="23">
      <formula>$T20="T"</formula>
    </cfRule>
  </conditionalFormatting>
  <conditionalFormatting sqref="Q20">
    <cfRule type="expression" dxfId="49" priority="19">
      <formula>$T20="T"</formula>
    </cfRule>
  </conditionalFormatting>
  <conditionalFormatting sqref="P20">
    <cfRule type="expression" dxfId="48" priority="22">
      <formula>$T20="T"</formula>
    </cfRule>
  </conditionalFormatting>
  <conditionalFormatting sqref="S20">
    <cfRule type="expression" dxfId="47" priority="16">
      <formula>$T20="T"</formula>
    </cfRule>
  </conditionalFormatting>
  <conditionalFormatting sqref="S20">
    <cfRule type="expression" dxfId="46" priority="15">
      <formula>$T20="T"</formula>
    </cfRule>
  </conditionalFormatting>
  <conditionalFormatting sqref="B20">
    <cfRule type="expression" dxfId="45" priority="5">
      <formula>$T20="T"</formula>
    </cfRule>
  </conditionalFormatting>
  <conditionalFormatting sqref="C20:N20">
    <cfRule type="expression" dxfId="44" priority="7">
      <formula>$T20="T"</formula>
    </cfRule>
  </conditionalFormatting>
  <conditionalFormatting sqref="C20:D20">
    <cfRule type="expression" dxfId="43" priority="6">
      <formula>$T22="T"</formula>
    </cfRule>
  </conditionalFormatting>
  <conditionalFormatting sqref="D20">
    <cfRule type="expression" dxfId="42" priority="8">
      <formula>$T24="T"</formula>
    </cfRule>
  </conditionalFormatting>
  <conditionalFormatting sqref="E20:N20">
    <cfRule type="expression" dxfId="41" priority="9">
      <formula>$T21="T"</formula>
    </cfRule>
  </conditionalFormatting>
  <conditionalFormatting sqref="E20:N20">
    <cfRule type="expression" dxfId="40" priority="10">
      <formula>$T23="T"</formula>
    </cfRule>
  </conditionalFormatting>
  <conditionalFormatting sqref="E20:N20">
    <cfRule type="expression" dxfId="39" priority="11">
      <formula>$T25="T"</formula>
    </cfRule>
  </conditionalFormatting>
  <conditionalFormatting sqref="E20:N20">
    <cfRule type="expression" dxfId="38" priority="2">
      <formula>$T22="T"</formula>
    </cfRule>
  </conditionalFormatting>
  <conditionalFormatting sqref="E20:N20">
    <cfRule type="expression" dxfId="37" priority="3">
      <formula>$T24="T"</formula>
    </cfRule>
  </conditionalFormatting>
  <conditionalFormatting sqref="W20">
    <cfRule type="expression" dxfId="36" priority="1">
      <formula>$T20="T"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aveNewVersion_Excel">
                <anchor moveWithCells="1" sizeWithCells="1">
                  <from>
                    <xdr:col>11</xdr:col>
                    <xdr:colOff>800100</xdr:colOff>
                    <xdr:row>1</xdr:row>
                    <xdr:rowOff>63500</xdr:rowOff>
                  </from>
                  <to>
                    <xdr:col>12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04F73-1128-41E1-A67B-EDCCAFDAC54E}">
  <sheetPr codeName="Sheet2">
    <tabColor rgb="FFFECA7E"/>
  </sheetPr>
  <dimension ref="A1:CR500"/>
  <sheetViews>
    <sheetView showGridLines="0" zoomScale="70" zoomScaleNormal="70" workbookViewId="0"/>
  </sheetViews>
  <sheetFormatPr baseColWidth="10" defaultColWidth="11.5" defaultRowHeight="15" x14ac:dyDescent="0.2"/>
  <cols>
    <col min="1" max="1" width="9.83203125" style="1" customWidth="1"/>
    <col min="2" max="2" width="41.83203125" style="1" customWidth="1"/>
    <col min="3" max="3" width="16.33203125" customWidth="1"/>
    <col min="4" max="4" width="16.1640625" customWidth="1"/>
    <col min="5" max="5" width="16" customWidth="1"/>
    <col min="6" max="6" width="16.33203125" customWidth="1"/>
    <col min="7" max="7" width="15.83203125" customWidth="1"/>
    <col min="8" max="10" width="15.5" customWidth="1"/>
    <col min="11" max="12" width="15.6640625" customWidth="1"/>
    <col min="13" max="13" width="16.1640625" customWidth="1"/>
    <col min="14" max="14" width="16" customWidth="1"/>
    <col min="15" max="15" width="16.5" customWidth="1"/>
    <col min="16" max="17" width="17.1640625" hidden="1" customWidth="1"/>
    <col min="18" max="18" width="17.33203125" customWidth="1"/>
    <col min="19" max="19" width="21.1640625" customWidth="1"/>
    <col min="20" max="21" width="11.5" hidden="1" customWidth="1"/>
    <col min="22" max="22" width="14.1640625" hidden="1" customWidth="1"/>
    <col min="23" max="23" width="17.1640625" hidden="1" customWidth="1"/>
    <col min="24" max="24" width="14" hidden="1" customWidth="1"/>
    <col min="25" max="95" width="11.5" hidden="1" customWidth="1"/>
    <col min="96" max="96" width="0" hidden="1" customWidth="1"/>
  </cols>
  <sheetData>
    <row r="1" spans="1:24" s="12" customFormat="1" ht="34" x14ac:dyDescent="0.2">
      <c r="A1" s="15"/>
      <c r="B1" s="2"/>
      <c r="C1" s="2"/>
      <c r="D1" s="90" t="s">
        <v>3</v>
      </c>
      <c r="E1" s="90"/>
      <c r="F1" s="90"/>
      <c r="G1" s="90"/>
      <c r="H1" s="90"/>
      <c r="I1" s="90"/>
      <c r="J1" s="90"/>
      <c r="K1" s="90"/>
      <c r="L1" s="2"/>
      <c r="M1" s="2"/>
      <c r="N1" s="2"/>
      <c r="O1" s="16"/>
      <c r="P1" s="2"/>
      <c r="R1" s="17"/>
    </row>
    <row r="2" spans="1:24" s="12" customFormat="1" ht="16" thickBot="1" x14ac:dyDescent="0.25">
      <c r="A2" s="19"/>
      <c r="B2" s="20"/>
      <c r="C2" s="21"/>
      <c r="D2" s="21"/>
      <c r="E2" s="21"/>
      <c r="F2" s="22"/>
      <c r="G2" s="21"/>
      <c r="H2" s="21"/>
      <c r="I2" s="21"/>
      <c r="J2" s="21"/>
      <c r="K2" s="21"/>
      <c r="L2" s="21"/>
      <c r="M2" s="21"/>
      <c r="N2" s="21"/>
      <c r="O2" s="16"/>
      <c r="P2" s="23"/>
      <c r="R2" s="17"/>
    </row>
    <row r="3" spans="1:24" s="12" customFormat="1" ht="16" x14ac:dyDescent="0.2">
      <c r="A3" s="19"/>
      <c r="B3" s="76" t="s">
        <v>181</v>
      </c>
      <c r="C3" s="25"/>
      <c r="D3" s="52" t="s">
        <v>4</v>
      </c>
      <c r="E3" s="53" t="s">
        <v>5</v>
      </c>
      <c r="F3" s="54" t="s">
        <v>6</v>
      </c>
      <c r="G3" s="53" t="e">
        <f>ABS(ROUND(VLOOKUP("*Gross Potential Rent*",$B$20:$O$999, 14, FALSE)/$E$3,2))</f>
        <v>#N/A</v>
      </c>
      <c r="H3" s="54" t="s">
        <v>7</v>
      </c>
      <c r="I3" s="53"/>
      <c r="J3" s="55" t="s">
        <v>8</v>
      </c>
      <c r="K3" s="56" t="e">
        <f>ABS(ROUND(VLOOKUP("*TOTAL EXPENSES*",$B$20:$O$999, 14, FALSE),2))</f>
        <v>#N/A</v>
      </c>
      <c r="L3" s="25"/>
      <c r="M3" s="25"/>
      <c r="N3" s="25"/>
      <c r="O3" s="26"/>
      <c r="P3" s="27"/>
      <c r="R3" s="17"/>
    </row>
    <row r="4" spans="1:24" s="12" customFormat="1" x14ac:dyDescent="0.2">
      <c r="A4" s="19"/>
      <c r="B4" s="75">
        <v>0.04</v>
      </c>
      <c r="C4" s="25"/>
      <c r="D4" s="57" t="s">
        <v>9</v>
      </c>
      <c r="E4" s="46" t="e">
        <f>VLOOKUP("*TOTAL INCOME*",$B$20:$O$999,14,FALSE)</f>
        <v>#N/A</v>
      </c>
      <c r="F4" s="58" t="s">
        <v>10</v>
      </c>
      <c r="G4" s="46" t="s">
        <v>151</v>
      </c>
      <c r="H4" s="58" t="s">
        <v>11</v>
      </c>
      <c r="I4" s="46" t="e">
        <f>ROUND(VLOOKUP("*Gross Potential Rent*",$B$20:$O$999, 14, FALSE)/12,2)</f>
        <v>#N/A</v>
      </c>
      <c r="J4" s="59" t="s">
        <v>12</v>
      </c>
      <c r="K4" s="60" t="e">
        <f>ABS(ROUND(VLOOKUP("*TOTAL EXPENSES*",$B$20:$O$999, 14, FALSE)/$E$3,2))</f>
        <v>#N/A</v>
      </c>
      <c r="L4" s="25"/>
      <c r="M4" s="25"/>
      <c r="N4" s="25"/>
      <c r="O4" s="26"/>
      <c r="P4" s="27"/>
      <c r="R4" s="17"/>
    </row>
    <row r="5" spans="1:24" s="12" customFormat="1" x14ac:dyDescent="0.2">
      <c r="A5" s="19"/>
      <c r="B5" s="8"/>
      <c r="C5" s="25"/>
      <c r="D5" s="57" t="s">
        <v>13</v>
      </c>
      <c r="E5" s="46" t="e">
        <f>ROUND(VLOOKUP("*TOTAL INCOME*",$B$20:$O$999,14,FALSE)/$E$3,2)</f>
        <v>#N/A</v>
      </c>
      <c r="F5" s="58" t="s">
        <v>14</v>
      </c>
      <c r="G5" s="46" t="e">
        <f>ROUND(VLOOKUP("*Application Fees*",$B$20:$O$999, 14, FALSE),2)</f>
        <v>#N/A</v>
      </c>
      <c r="H5" s="47"/>
      <c r="I5" s="46"/>
      <c r="J5" s="61" t="s">
        <v>15</v>
      </c>
      <c r="K5" s="60"/>
      <c r="L5" s="25"/>
      <c r="M5" s="25"/>
      <c r="N5" s="25"/>
      <c r="O5" s="26"/>
      <c r="P5" s="27"/>
      <c r="R5" s="17"/>
    </row>
    <row r="6" spans="1:24" ht="16" thickBot="1" x14ac:dyDescent="0.25">
      <c r="A6" s="19"/>
      <c r="B6" s="8"/>
      <c r="C6" s="25"/>
      <c r="D6" s="62" t="s">
        <v>16</v>
      </c>
      <c r="E6" s="48" t="s">
        <v>17</v>
      </c>
      <c r="F6" s="63" t="s">
        <v>18</v>
      </c>
      <c r="G6" s="48" t="e">
        <f>ROUND(VLOOKUP("*Pet Rent*",$B$20:$O$999, 14, FALSE)/$E$3,2)</f>
        <v>#N/A</v>
      </c>
      <c r="H6" s="49"/>
      <c r="I6" s="48"/>
      <c r="J6" s="63" t="s">
        <v>19</v>
      </c>
      <c r="K6" s="64"/>
      <c r="L6" s="25"/>
      <c r="M6" s="25"/>
      <c r="N6" s="25"/>
      <c r="O6" s="26"/>
      <c r="P6" s="27"/>
      <c r="R6" s="17"/>
    </row>
    <row r="7" spans="1:24" x14ac:dyDescent="0.2">
      <c r="A7" s="19"/>
      <c r="B7" s="8"/>
      <c r="C7" s="25"/>
      <c r="D7" s="14"/>
      <c r="E7" s="13"/>
      <c r="F7" s="14"/>
      <c r="G7" s="13"/>
      <c r="H7" s="28"/>
      <c r="I7" s="28"/>
      <c r="J7" s="14"/>
      <c r="K7" s="29"/>
      <c r="L7" s="25"/>
      <c r="M7" s="25"/>
      <c r="N7" s="25"/>
      <c r="O7" s="26" t="s">
        <v>44</v>
      </c>
      <c r="P7" s="27"/>
      <c r="R7" s="17"/>
    </row>
    <row r="8" spans="1:24" x14ac:dyDescent="0.2">
      <c r="A8" s="30" t="s">
        <v>120</v>
      </c>
      <c r="B8" s="3" t="str">
        <f>A8&amp;" move-outs"</f>
        <v>&amp;=Header.CurrentYear move-outs</v>
      </c>
      <c r="C8" s="4" t="s">
        <v>134</v>
      </c>
      <c r="D8" s="5" t="s">
        <v>135</v>
      </c>
      <c r="E8" s="5" t="s">
        <v>136</v>
      </c>
      <c r="F8" s="5" t="s">
        <v>137</v>
      </c>
      <c r="G8" s="5" t="s">
        <v>138</v>
      </c>
      <c r="H8" s="4" t="s">
        <v>139</v>
      </c>
      <c r="I8" s="4" t="s">
        <v>140</v>
      </c>
      <c r="J8" s="5" t="s">
        <v>141</v>
      </c>
      <c r="K8" s="6" t="s">
        <v>142</v>
      </c>
      <c r="L8" s="4" t="s">
        <v>143</v>
      </c>
      <c r="M8" s="4" t="s">
        <v>144</v>
      </c>
      <c r="N8" s="4" t="s">
        <v>145</v>
      </c>
      <c r="O8" s="7">
        <f>SUM(C8:N8)</f>
        <v>0</v>
      </c>
      <c r="P8" s="27"/>
      <c r="R8" s="17"/>
    </row>
    <row r="9" spans="1:24" x14ac:dyDescent="0.2">
      <c r="A9" s="30" t="s">
        <v>45</v>
      </c>
      <c r="B9" s="3" t="str">
        <f>A9&amp;" Lease expirations"</f>
        <v>&amp;=Header.BudYear Lease expirations</v>
      </c>
      <c r="C9" s="4" t="s">
        <v>32</v>
      </c>
      <c r="D9" s="5" t="s">
        <v>33</v>
      </c>
      <c r="E9" s="5" t="s">
        <v>34</v>
      </c>
      <c r="F9" s="5" t="s">
        <v>35</v>
      </c>
      <c r="G9" s="5" t="s">
        <v>36</v>
      </c>
      <c r="H9" s="4" t="s">
        <v>37</v>
      </c>
      <c r="I9" s="4" t="s">
        <v>38</v>
      </c>
      <c r="J9" s="5" t="s">
        <v>39</v>
      </c>
      <c r="K9" s="6" t="s">
        <v>40</v>
      </c>
      <c r="L9" s="4" t="s">
        <v>41</v>
      </c>
      <c r="M9" s="4" t="s">
        <v>42</v>
      </c>
      <c r="N9" s="4" t="s">
        <v>43</v>
      </c>
      <c r="O9" s="7">
        <f>SUM(C9:N9)</f>
        <v>0</v>
      </c>
      <c r="P9" s="27"/>
      <c r="R9" s="17"/>
    </row>
    <row r="10" spans="1:24" x14ac:dyDescent="0.2">
      <c r="A10" s="30" t="s">
        <v>45</v>
      </c>
      <c r="B10" s="3" t="str">
        <f>A10&amp;" Projected Move-Outs"</f>
        <v>&amp;=Header.BudYear Projected Move-Outs</v>
      </c>
      <c r="C10" s="4" t="s">
        <v>20</v>
      </c>
      <c r="D10" s="5" t="s">
        <v>21</v>
      </c>
      <c r="E10" s="5" t="s">
        <v>22</v>
      </c>
      <c r="F10" s="5" t="s">
        <v>23</v>
      </c>
      <c r="G10" s="5" t="s">
        <v>24</v>
      </c>
      <c r="H10" s="4" t="s">
        <v>25</v>
      </c>
      <c r="I10" s="4" t="s">
        <v>26</v>
      </c>
      <c r="J10" s="5" t="s">
        <v>27</v>
      </c>
      <c r="K10" s="6" t="s">
        <v>28</v>
      </c>
      <c r="L10" s="4" t="s">
        <v>29</v>
      </c>
      <c r="M10" s="4" t="s">
        <v>30</v>
      </c>
      <c r="N10" s="4" t="s">
        <v>31</v>
      </c>
      <c r="O10" s="7">
        <f>SUM(C10:N10)</f>
        <v>0</v>
      </c>
      <c r="P10" s="27"/>
      <c r="R10" s="17"/>
    </row>
    <row r="11" spans="1:24" x14ac:dyDescent="0.2">
      <c r="A11" s="19"/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10"/>
      <c r="P11" s="31"/>
      <c r="R11" s="17"/>
    </row>
    <row r="12" spans="1:24" ht="16" thickBot="1" x14ac:dyDescent="0.25">
      <c r="A12" s="19"/>
      <c r="B12" s="20"/>
      <c r="C12" s="31" t="s">
        <v>46</v>
      </c>
      <c r="D12" s="31" t="s">
        <v>47</v>
      </c>
      <c r="E12" s="31" t="s">
        <v>48</v>
      </c>
      <c r="F12" s="31" t="s">
        <v>49</v>
      </c>
      <c r="G12" s="31" t="s">
        <v>50</v>
      </c>
      <c r="H12" s="31" t="s">
        <v>51</v>
      </c>
      <c r="I12" s="31" t="s">
        <v>52</v>
      </c>
      <c r="J12" s="31" t="s">
        <v>53</v>
      </c>
      <c r="K12" s="31" t="s">
        <v>54</v>
      </c>
      <c r="L12" s="31" t="s">
        <v>55</v>
      </c>
      <c r="M12" s="31" t="s">
        <v>56</v>
      </c>
      <c r="N12" s="31" t="s">
        <v>57</v>
      </c>
      <c r="O12" s="10"/>
      <c r="P12" s="31"/>
      <c r="R12" s="17"/>
    </row>
    <row r="13" spans="1:24" ht="16" x14ac:dyDescent="0.2">
      <c r="A13" s="19"/>
      <c r="B13" s="65" t="s">
        <v>58</v>
      </c>
      <c r="C13" s="66" t="e">
        <f>+$E$3*C$15</f>
        <v>#VALUE!</v>
      </c>
      <c r="D13" s="66" t="e">
        <f t="shared" ref="D13:N13" si="0">+$E$3*D$15</f>
        <v>#VALUE!</v>
      </c>
      <c r="E13" s="66" t="e">
        <f t="shared" si="0"/>
        <v>#VALUE!</v>
      </c>
      <c r="F13" s="66" t="e">
        <f t="shared" si="0"/>
        <v>#VALUE!</v>
      </c>
      <c r="G13" s="66" t="e">
        <f t="shared" si="0"/>
        <v>#VALUE!</v>
      </c>
      <c r="H13" s="66" t="e">
        <f t="shared" si="0"/>
        <v>#VALUE!</v>
      </c>
      <c r="I13" s="66" t="e">
        <f t="shared" si="0"/>
        <v>#VALUE!</v>
      </c>
      <c r="J13" s="66" t="e">
        <f t="shared" si="0"/>
        <v>#VALUE!</v>
      </c>
      <c r="K13" s="66" t="e">
        <f t="shared" si="0"/>
        <v>#VALUE!</v>
      </c>
      <c r="L13" s="66" t="e">
        <f t="shared" si="0"/>
        <v>#VALUE!</v>
      </c>
      <c r="M13" s="66" t="e">
        <f t="shared" si="0"/>
        <v>#VALUE!</v>
      </c>
      <c r="N13" s="66" t="e">
        <f t="shared" si="0"/>
        <v>#VALUE!</v>
      </c>
      <c r="O13" s="10"/>
      <c r="P13" s="31"/>
      <c r="R13" s="17"/>
    </row>
    <row r="14" spans="1:24" ht="16" x14ac:dyDescent="0.2">
      <c r="A14" s="19"/>
      <c r="B14" s="67" t="s">
        <v>59</v>
      </c>
      <c r="C14" s="68" t="e">
        <f>ROUND(+$E$3*C$16,0)</f>
        <v>#VALUE!</v>
      </c>
      <c r="D14" s="68" t="e">
        <f t="shared" ref="D14:N14" si="1">ROUND(+$E$3*D$16,0)</f>
        <v>#VALUE!</v>
      </c>
      <c r="E14" s="68" t="e">
        <f t="shared" si="1"/>
        <v>#VALUE!</v>
      </c>
      <c r="F14" s="68" t="e">
        <f t="shared" si="1"/>
        <v>#VALUE!</v>
      </c>
      <c r="G14" s="68" t="e">
        <f t="shared" si="1"/>
        <v>#VALUE!</v>
      </c>
      <c r="H14" s="68" t="e">
        <f t="shared" si="1"/>
        <v>#VALUE!</v>
      </c>
      <c r="I14" s="68" t="e">
        <f t="shared" si="1"/>
        <v>#VALUE!</v>
      </c>
      <c r="J14" s="68" t="e">
        <f t="shared" si="1"/>
        <v>#VALUE!</v>
      </c>
      <c r="K14" s="68" t="e">
        <f t="shared" si="1"/>
        <v>#VALUE!</v>
      </c>
      <c r="L14" s="68" t="e">
        <f t="shared" si="1"/>
        <v>#VALUE!</v>
      </c>
      <c r="M14" s="68" t="e">
        <f t="shared" si="1"/>
        <v>#VALUE!</v>
      </c>
      <c r="N14" s="68" t="e">
        <f t="shared" si="1"/>
        <v>#VALUE!</v>
      </c>
      <c r="O14" s="10"/>
      <c r="P14" s="31"/>
      <c r="R14" s="17"/>
    </row>
    <row r="15" spans="1:24" ht="16" x14ac:dyDescent="0.2">
      <c r="A15" s="19"/>
      <c r="B15" s="69" t="s">
        <v>60</v>
      </c>
      <c r="C15" s="70">
        <f>1-C$16</f>
        <v>0.97</v>
      </c>
      <c r="D15" s="70">
        <f t="shared" ref="D15:N15" si="2">1-D$16</f>
        <v>0.97</v>
      </c>
      <c r="E15" s="70">
        <f t="shared" si="2"/>
        <v>0.97</v>
      </c>
      <c r="F15" s="70">
        <f t="shared" si="2"/>
        <v>0.97</v>
      </c>
      <c r="G15" s="70">
        <f t="shared" si="2"/>
        <v>0.95</v>
      </c>
      <c r="H15" s="70">
        <f t="shared" si="2"/>
        <v>0.95</v>
      </c>
      <c r="I15" s="70">
        <f t="shared" si="2"/>
        <v>0.95</v>
      </c>
      <c r="J15" s="70">
        <f t="shared" si="2"/>
        <v>0.96</v>
      </c>
      <c r="K15" s="70">
        <f t="shared" si="2"/>
        <v>0.97</v>
      </c>
      <c r="L15" s="70">
        <f t="shared" si="2"/>
        <v>0.97</v>
      </c>
      <c r="M15" s="70">
        <f t="shared" si="2"/>
        <v>0.97</v>
      </c>
      <c r="N15" s="70">
        <f t="shared" si="2"/>
        <v>0.97</v>
      </c>
      <c r="O15" s="10"/>
      <c r="P15" s="31"/>
      <c r="R15" s="17"/>
    </row>
    <row r="16" spans="1:24" ht="17" thickBot="1" x14ac:dyDescent="0.25">
      <c r="A16" s="19"/>
      <c r="B16" s="71" t="s">
        <v>61</v>
      </c>
      <c r="C16" s="72">
        <v>0.03</v>
      </c>
      <c r="D16" s="72">
        <v>0.03</v>
      </c>
      <c r="E16" s="72">
        <v>0.03</v>
      </c>
      <c r="F16" s="72">
        <v>0.03</v>
      </c>
      <c r="G16" s="72">
        <v>0.05</v>
      </c>
      <c r="H16" s="72">
        <v>0.05</v>
      </c>
      <c r="I16" s="72">
        <v>0.05</v>
      </c>
      <c r="J16" s="72">
        <v>0.04</v>
      </c>
      <c r="K16" s="72">
        <v>0.03</v>
      </c>
      <c r="L16" s="72">
        <v>0.03</v>
      </c>
      <c r="M16" s="72">
        <v>0.03</v>
      </c>
      <c r="N16" s="73">
        <v>0.03</v>
      </c>
      <c r="O16" s="10"/>
      <c r="P16" s="31"/>
      <c r="R16" s="17"/>
      <c r="X16" s="44"/>
    </row>
    <row r="17" spans="1:96" x14ac:dyDescent="0.2">
      <c r="A17" s="19"/>
      <c r="B17" s="20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0"/>
      <c r="P17" s="32" t="s">
        <v>62</v>
      </c>
      <c r="R17" s="17"/>
      <c r="AK17" t="s">
        <v>84</v>
      </c>
      <c r="AL17" t="s">
        <v>85</v>
      </c>
      <c r="AM17" t="s">
        <v>86</v>
      </c>
      <c r="AN17" t="s">
        <v>87</v>
      </c>
      <c r="AO17" t="s">
        <v>88</v>
      </c>
      <c r="AP17" t="s">
        <v>89</v>
      </c>
      <c r="AQ17" t="s">
        <v>90</v>
      </c>
      <c r="AR17" t="s">
        <v>65</v>
      </c>
      <c r="AS17" t="s">
        <v>91</v>
      </c>
      <c r="AT17" t="s">
        <v>92</v>
      </c>
      <c r="AU17" t="s">
        <v>94</v>
      </c>
      <c r="AV17" t="s">
        <v>93</v>
      </c>
    </row>
    <row r="18" spans="1:96" x14ac:dyDescent="0.2">
      <c r="A18" s="11"/>
      <c r="B18" s="43"/>
      <c r="O18" s="10"/>
      <c r="R18" s="17"/>
      <c r="AK18" s="12">
        <v>1</v>
      </c>
      <c r="AL18" s="12">
        <v>2</v>
      </c>
      <c r="AM18" s="12">
        <v>3</v>
      </c>
      <c r="AN18" s="12">
        <v>4</v>
      </c>
      <c r="AO18" s="12">
        <v>5</v>
      </c>
      <c r="AP18" s="12">
        <v>6</v>
      </c>
      <c r="AQ18" s="12">
        <v>7</v>
      </c>
      <c r="AR18" s="12">
        <v>8</v>
      </c>
      <c r="AS18" s="12">
        <v>9</v>
      </c>
      <c r="AT18" s="12">
        <v>10</v>
      </c>
      <c r="AU18" s="12">
        <v>11</v>
      </c>
      <c r="AV18" s="12">
        <v>12</v>
      </c>
      <c r="BY18" t="s">
        <v>165</v>
      </c>
      <c r="BZ18" t="s">
        <v>165</v>
      </c>
      <c r="CA18" t="s">
        <v>165</v>
      </c>
      <c r="CB18" t="s">
        <v>165</v>
      </c>
      <c r="CC18" t="s">
        <v>165</v>
      </c>
      <c r="CD18" t="s">
        <v>165</v>
      </c>
      <c r="CE18" t="s">
        <v>165</v>
      </c>
      <c r="CF18" t="s">
        <v>165</v>
      </c>
      <c r="CG18" t="s">
        <v>165</v>
      </c>
      <c r="CH18" t="s">
        <v>165</v>
      </c>
      <c r="CI18" t="s">
        <v>165</v>
      </c>
      <c r="CJ18" t="s">
        <v>165</v>
      </c>
    </row>
    <row r="19" spans="1:96" ht="40.5" customHeight="1" thickBot="1" x14ac:dyDescent="0.25">
      <c r="A19" s="38" t="s">
        <v>2</v>
      </c>
      <c r="B19" s="38" t="s">
        <v>0</v>
      </c>
      <c r="C19" s="89" t="s">
        <v>168</v>
      </c>
      <c r="D19" s="89" t="s">
        <v>169</v>
      </c>
      <c r="E19" s="89" t="s">
        <v>170</v>
      </c>
      <c r="F19" s="89" t="s">
        <v>171</v>
      </c>
      <c r="G19" s="89" t="s">
        <v>172</v>
      </c>
      <c r="H19" s="89" t="s">
        <v>173</v>
      </c>
      <c r="I19" s="89" t="s">
        <v>174</v>
      </c>
      <c r="J19" s="89" t="s">
        <v>175</v>
      </c>
      <c r="K19" s="89" t="s">
        <v>176</v>
      </c>
      <c r="L19" s="89" t="s">
        <v>177</v>
      </c>
      <c r="M19" s="89" t="s">
        <v>178</v>
      </c>
      <c r="N19" s="89" t="s">
        <v>179</v>
      </c>
      <c r="O19" s="80" t="s">
        <v>44</v>
      </c>
      <c r="P19" s="81" t="s">
        <v>63</v>
      </c>
      <c r="Q19" s="81" t="s">
        <v>243</v>
      </c>
      <c r="R19" s="82" t="s">
        <v>242</v>
      </c>
      <c r="S19" s="81" t="s">
        <v>1</v>
      </c>
      <c r="T19" s="87" t="s">
        <v>79</v>
      </c>
      <c r="U19" s="87" t="s">
        <v>80</v>
      </c>
      <c r="V19" s="87" t="s">
        <v>81</v>
      </c>
      <c r="W19" s="88" t="s">
        <v>244</v>
      </c>
      <c r="X19" s="51"/>
      <c r="Y19" s="39" t="s">
        <v>66</v>
      </c>
      <c r="Z19" s="39" t="s">
        <v>67</v>
      </c>
      <c r="AA19" s="39" t="s">
        <v>68</v>
      </c>
      <c r="AB19" s="39" t="s">
        <v>69</v>
      </c>
      <c r="AC19" s="39" t="s">
        <v>70</v>
      </c>
      <c r="AD19" s="39" t="s">
        <v>71</v>
      </c>
      <c r="AE19" s="39" t="s">
        <v>72</v>
      </c>
      <c r="AF19" s="39" t="s">
        <v>73</v>
      </c>
      <c r="AG19" s="39" t="s">
        <v>74</v>
      </c>
      <c r="AH19" s="39" t="s">
        <v>75</v>
      </c>
      <c r="AI19" s="39" t="s">
        <v>76</v>
      </c>
      <c r="AJ19" s="39" t="s">
        <v>77</v>
      </c>
      <c r="AK19" s="40" t="s">
        <v>82</v>
      </c>
      <c r="AL19" s="40" t="s">
        <v>82</v>
      </c>
      <c r="AM19" s="40" t="s">
        <v>82</v>
      </c>
      <c r="AN19" s="40" t="s">
        <v>82</v>
      </c>
      <c r="AO19" s="40" t="s">
        <v>82</v>
      </c>
      <c r="AP19" s="40" t="s">
        <v>82</v>
      </c>
      <c r="AQ19" s="40" t="s">
        <v>82</v>
      </c>
      <c r="AR19" s="40" t="s">
        <v>82</v>
      </c>
      <c r="AS19" s="40" t="s">
        <v>82</v>
      </c>
      <c r="AT19" s="40" t="s">
        <v>82</v>
      </c>
      <c r="AU19" s="40" t="s">
        <v>82</v>
      </c>
      <c r="AV19" s="40" t="s">
        <v>82</v>
      </c>
      <c r="AW19" s="40" t="s">
        <v>107</v>
      </c>
      <c r="AX19" s="40"/>
      <c r="AY19" s="40" t="s">
        <v>245</v>
      </c>
      <c r="AZ19" s="40" t="s">
        <v>246</v>
      </c>
      <c r="BA19" s="40" t="s">
        <v>247</v>
      </c>
      <c r="BB19" s="40" t="s">
        <v>248</v>
      </c>
      <c r="BC19" s="40" t="s">
        <v>249</v>
      </c>
      <c r="BD19" s="40" t="s">
        <v>250</v>
      </c>
      <c r="BE19" s="40" t="s">
        <v>251</v>
      </c>
      <c r="BF19" s="40" t="s">
        <v>252</v>
      </c>
      <c r="BG19" s="40" t="s">
        <v>253</v>
      </c>
      <c r="BH19" s="40" t="s">
        <v>253</v>
      </c>
      <c r="BI19" s="40" t="s">
        <v>254</v>
      </c>
      <c r="BJ19" s="40" t="s">
        <v>255</v>
      </c>
      <c r="BM19" s="39" t="s">
        <v>66</v>
      </c>
      <c r="BN19" s="39" t="s">
        <v>67</v>
      </c>
      <c r="BO19" s="39" t="s">
        <v>68</v>
      </c>
      <c r="BP19" s="39" t="s">
        <v>69</v>
      </c>
      <c r="BQ19" s="39" t="s">
        <v>70</v>
      </c>
      <c r="BR19" s="39" t="s">
        <v>71</v>
      </c>
      <c r="BS19" s="39" t="s">
        <v>72</v>
      </c>
      <c r="BT19" s="39" t="s">
        <v>73</v>
      </c>
      <c r="BU19" s="39" t="s">
        <v>74</v>
      </c>
      <c r="BV19" s="39" t="s">
        <v>75</v>
      </c>
      <c r="BW19" s="39" t="s">
        <v>76</v>
      </c>
      <c r="BX19" s="39" t="s">
        <v>77</v>
      </c>
      <c r="BY19" s="39" t="s">
        <v>66</v>
      </c>
      <c r="BZ19" s="39" t="s">
        <v>67</v>
      </c>
      <c r="CA19" s="39" t="s">
        <v>68</v>
      </c>
      <c r="CB19" s="39" t="s">
        <v>69</v>
      </c>
      <c r="CC19" s="39" t="s">
        <v>70</v>
      </c>
      <c r="CD19" s="39" t="s">
        <v>71</v>
      </c>
      <c r="CE19" s="39" t="s">
        <v>72</v>
      </c>
      <c r="CF19" s="39" t="s">
        <v>73</v>
      </c>
      <c r="CG19" s="39" t="s">
        <v>74</v>
      </c>
      <c r="CH19" s="39" t="s">
        <v>75</v>
      </c>
      <c r="CI19" s="39" t="s">
        <v>76</v>
      </c>
      <c r="CJ19" s="39" t="s">
        <v>77</v>
      </c>
      <c r="CR19" s="81"/>
    </row>
    <row r="20" spans="1:96" x14ac:dyDescent="0.2">
      <c r="A20" s="1" t="s">
        <v>197</v>
      </c>
      <c r="B20" s="1" t="s">
        <v>196</v>
      </c>
      <c r="C20" s="78" t="s">
        <v>256</v>
      </c>
      <c r="D20" s="78" t="s">
        <v>257</v>
      </c>
      <c r="E20" s="78" t="s">
        <v>258</v>
      </c>
      <c r="F20" s="78" t="s">
        <v>259</v>
      </c>
      <c r="G20" s="78" t="s">
        <v>260</v>
      </c>
      <c r="H20" s="78" t="s">
        <v>261</v>
      </c>
      <c r="I20" s="78" t="s">
        <v>262</v>
      </c>
      <c r="J20" s="78" t="s">
        <v>263</v>
      </c>
      <c r="K20" s="78" t="s">
        <v>264</v>
      </c>
      <c r="L20" s="78" t="s">
        <v>265</v>
      </c>
      <c r="M20" s="78" t="s">
        <v>266</v>
      </c>
      <c r="N20" s="78" t="s">
        <v>267</v>
      </c>
      <c r="O20" s="77" t="s">
        <v>146</v>
      </c>
      <c r="P20" s="78"/>
      <c r="Q20" s="78"/>
      <c r="R20" s="85" t="s">
        <v>283</v>
      </c>
      <c r="S20" s="78" t="s">
        <v>270</v>
      </c>
      <c r="T20" s="41" t="s">
        <v>194</v>
      </c>
      <c r="U20" t="s">
        <v>78</v>
      </c>
      <c r="V20" s="41" t="s">
        <v>195</v>
      </c>
      <c r="W20" s="36"/>
      <c r="X20" s="32">
        <f>_xlfn.MAXIFS($U$20:$U20,$T$20:$T20,"H",$U$20:$U20,"&gt;="&amp;LOOKUP(2,1/($T$20:$T20="H")),$V$20:$V20,"&lt;=$"&amp;V20)</f>
        <v>0</v>
      </c>
      <c r="Y20" s="37" t="s">
        <v>182</v>
      </c>
      <c r="Z20" t="s">
        <v>183</v>
      </c>
      <c r="AA20" t="s">
        <v>184</v>
      </c>
      <c r="AB20" t="s">
        <v>185</v>
      </c>
      <c r="AC20" t="s">
        <v>186</v>
      </c>
      <c r="AD20" t="s">
        <v>187</v>
      </c>
      <c r="AE20" t="s">
        <v>188</v>
      </c>
      <c r="AF20" t="s">
        <v>189</v>
      </c>
      <c r="AG20" t="s">
        <v>190</v>
      </c>
      <c r="AH20" t="s">
        <v>191</v>
      </c>
      <c r="AI20" t="s">
        <v>192</v>
      </c>
      <c r="AJ20" t="s">
        <v>193</v>
      </c>
      <c r="AK20" s="42" t="s">
        <v>83</v>
      </c>
      <c r="AL20" s="42" t="s">
        <v>95</v>
      </c>
      <c r="AM20" s="42" t="s">
        <v>96</v>
      </c>
      <c r="AN20" s="42" t="s">
        <v>97</v>
      </c>
      <c r="AO20" s="42" t="s">
        <v>98</v>
      </c>
      <c r="AP20" s="42" t="s">
        <v>99</v>
      </c>
      <c r="AQ20" s="42" t="s">
        <v>100</v>
      </c>
      <c r="AR20" s="42" t="s">
        <v>101</v>
      </c>
      <c r="AS20" s="42" t="s">
        <v>102</v>
      </c>
      <c r="AT20" s="42" t="s">
        <v>103</v>
      </c>
      <c r="AU20" s="42" t="s">
        <v>104</v>
      </c>
      <c r="AV20" s="42" t="s">
        <v>105</v>
      </c>
      <c r="AW20" s="42" t="s">
        <v>108</v>
      </c>
      <c r="AX20" s="42" t="s">
        <v>133</v>
      </c>
      <c r="BK20" s="45"/>
      <c r="BL20" t="s">
        <v>152</v>
      </c>
      <c r="BM20" s="37" t="s">
        <v>121</v>
      </c>
      <c r="BN20" s="37" t="s">
        <v>122</v>
      </c>
      <c r="BO20" s="37" t="s">
        <v>123</v>
      </c>
      <c r="BP20" s="37" t="s">
        <v>124</v>
      </c>
      <c r="BQ20" s="37" t="s">
        <v>125</v>
      </c>
      <c r="BR20" s="37" t="s">
        <v>126</v>
      </c>
      <c r="BS20" s="37" t="s">
        <v>127</v>
      </c>
      <c r="BT20" s="37" t="s">
        <v>128</v>
      </c>
      <c r="BU20" s="37" t="s">
        <v>129</v>
      </c>
      <c r="BV20" s="37" t="s">
        <v>130</v>
      </c>
      <c r="BW20" s="37" t="s">
        <v>131</v>
      </c>
      <c r="BX20" s="37" t="s">
        <v>132</v>
      </c>
      <c r="BY20" s="37" t="s">
        <v>153</v>
      </c>
      <c r="BZ20" s="37" t="s">
        <v>154</v>
      </c>
      <c r="CA20" s="37" t="s">
        <v>155</v>
      </c>
      <c r="CB20" s="37" t="s">
        <v>156</v>
      </c>
      <c r="CC20" s="37" t="s">
        <v>157</v>
      </c>
      <c r="CD20" s="37" t="s">
        <v>158</v>
      </c>
      <c r="CE20" s="37" t="s">
        <v>159</v>
      </c>
      <c r="CF20" s="37" t="s">
        <v>160</v>
      </c>
      <c r="CG20" s="37" t="s">
        <v>161</v>
      </c>
      <c r="CH20" s="37" t="s">
        <v>162</v>
      </c>
      <c r="CI20" s="37" t="s">
        <v>163</v>
      </c>
      <c r="CJ20" s="37" t="s">
        <v>164</v>
      </c>
      <c r="CK20" s="32" t="s">
        <v>166</v>
      </c>
      <c r="CL20" s="32" t="s">
        <v>180</v>
      </c>
      <c r="CN20" s="37" t="s">
        <v>133</v>
      </c>
      <c r="CO20" s="79" t="s">
        <v>198</v>
      </c>
      <c r="CQ20" t="s">
        <v>196</v>
      </c>
    </row>
    <row r="21" spans="1:96" x14ac:dyDescent="0.2">
      <c r="C21" s="45"/>
      <c r="D21" s="45"/>
      <c r="N21" s="45"/>
      <c r="X21" s="32">
        <f>_xlfn.MAXIFS($U$20:$U21,$T$20:$T21,"H",$U$20:$U21,"&gt;="&amp;LOOKUP(2,1/($T$20:$T21="H")),$V$20:$V21,"&lt;=$"&amp;V21)</f>
        <v>0</v>
      </c>
    </row>
    <row r="22" spans="1:96" x14ac:dyDescent="0.2">
      <c r="E22" s="45"/>
      <c r="F22" s="45"/>
      <c r="G22" s="45"/>
      <c r="H22" s="45"/>
      <c r="I22" s="45"/>
      <c r="J22" s="45"/>
      <c r="K22" s="45"/>
      <c r="L22" s="45"/>
      <c r="M22" s="45"/>
      <c r="N22" s="45"/>
      <c r="Q22" s="84"/>
      <c r="X22" s="32">
        <f>_xlfn.MAXIFS($U$20:$U22,$T$20:$T22,"H",$U$20:$U22,"&gt;="&amp;LOOKUP(2,1/($T$20:$T22="H")),$V$20:$V22,"&lt;=$"&amp;V22)</f>
        <v>0</v>
      </c>
    </row>
    <row r="23" spans="1:96" x14ac:dyDescent="0.2">
      <c r="X23" s="32">
        <f>_xlfn.MAXIFS($U$20:$U23,$T$20:$T23,"H",$U$20:$U23,"&gt;="&amp;LOOKUP(2,1/($T$20:$T23="H")),$V$20:$V23,"&lt;=$"&amp;V23)</f>
        <v>0</v>
      </c>
    </row>
    <row r="24" spans="1:96" x14ac:dyDescent="0.2">
      <c r="Q24" s="83"/>
      <c r="X24" s="32">
        <f>_xlfn.MAXIFS($U$20:$U24,$T$20:$T24,"H",$U$20:$U24,"&gt;="&amp;LOOKUP(2,1/($T$20:$T24="H")),$V$20:$V24,"&lt;=$"&amp;V24)</f>
        <v>0</v>
      </c>
    </row>
    <row r="25" spans="1:96" x14ac:dyDescent="0.2"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X25" s="32">
        <f>_xlfn.MAXIFS($U$20:$U25,$T$20:$T25,"H",$U$20:$U25,"&gt;="&amp;LOOKUP(2,1/($T$20:$T25="H")),$V$20:$V25,"&lt;=$"&amp;V25)</f>
        <v>0</v>
      </c>
    </row>
    <row r="26" spans="1:96" x14ac:dyDescent="0.2">
      <c r="X26" s="32">
        <f>_xlfn.MAXIFS($U$20:$U26,$T$20:$T26,"H",$U$20:$U26,"&gt;="&amp;LOOKUP(2,1/($T$20:$T26="H")),$V$20:$V26,"&lt;=$"&amp;V26)</f>
        <v>0</v>
      </c>
    </row>
    <row r="27" spans="1:96" x14ac:dyDescent="0.2">
      <c r="X27" s="32">
        <f>_xlfn.MAXIFS($U$20:$U27,$T$20:$T27,"H",$U$20:$U27,"&gt;="&amp;LOOKUP(2,1/($T$20:$T27="H")),$V$20:$V27,"&lt;=$"&amp;V27)</f>
        <v>0</v>
      </c>
    </row>
    <row r="28" spans="1:96" x14ac:dyDescent="0.2">
      <c r="X28" s="32">
        <f>_xlfn.MAXIFS($U$20:$U28,$T$20:$T28,"H",$U$20:$U28,"&gt;="&amp;LOOKUP(2,1/($T$20:$T28="H")),$V$20:$V28,"&lt;=$"&amp;V28)</f>
        <v>0</v>
      </c>
    </row>
    <row r="29" spans="1:96" x14ac:dyDescent="0.2">
      <c r="X29" s="32">
        <f>_xlfn.MAXIFS($U$20:$U29,$T$20:$T29,"H",$U$20:$U29,"&gt;="&amp;LOOKUP(2,1/($T$20:$T29="H")),$V$20:$V29,"&lt;=$"&amp;V29)</f>
        <v>0</v>
      </c>
    </row>
    <row r="30" spans="1:96" x14ac:dyDescent="0.2">
      <c r="X30" s="32">
        <f>_xlfn.MAXIFS($U$20:$U30,$T$20:$T30,"H",$U$20:$U30,"&gt;="&amp;LOOKUP(2,1/($T$20:$T30="H")),$V$20:$V30,"&lt;=$"&amp;V30)</f>
        <v>0</v>
      </c>
    </row>
    <row r="31" spans="1:96" x14ac:dyDescent="0.2">
      <c r="X31" s="32">
        <f>_xlfn.MAXIFS($U$20:$U31,$T$20:$T31,"H",$U$20:$U31,"&gt;="&amp;LOOKUP(2,1/($T$20:$T31="H")),$V$20:$V31,"&lt;=$"&amp;V31)</f>
        <v>0</v>
      </c>
    </row>
    <row r="32" spans="1:96" x14ac:dyDescent="0.2">
      <c r="X32" s="32">
        <f>_xlfn.MAXIFS($U$20:$U32,$T$20:$T32,"H",$U$20:$U32,"&gt;="&amp;LOOKUP(2,1/($T$20:$T32="H")),$V$20:$V32,"&lt;=$"&amp;V32)</f>
        <v>0</v>
      </c>
    </row>
    <row r="33" spans="24:24" x14ac:dyDescent="0.2">
      <c r="X33" s="32">
        <f>_xlfn.MAXIFS($U$20:$U33,$T$20:$T33,"H",$U$20:$U33,"&gt;="&amp;LOOKUP(2,1/($T$20:$T33="H")),$V$20:$V33,"&lt;=$"&amp;V33)</f>
        <v>0</v>
      </c>
    </row>
    <row r="34" spans="24:24" x14ac:dyDescent="0.2">
      <c r="X34" s="32">
        <f>_xlfn.MAXIFS($U$20:$U34,$T$20:$T34,"H",$U$20:$U34,"&gt;="&amp;LOOKUP(2,1/($T$20:$T34="H")),$V$20:$V34,"&lt;=$"&amp;V34)</f>
        <v>0</v>
      </c>
    </row>
    <row r="35" spans="24:24" x14ac:dyDescent="0.2">
      <c r="X35" s="32">
        <f>_xlfn.MAXIFS($U$20:$U35,$T$20:$T35,"H",$U$20:$U35,"&gt;="&amp;LOOKUP(2,1/($T$20:$T35="H")),$V$20:$V35,"&lt;=$"&amp;V35)</f>
        <v>0</v>
      </c>
    </row>
    <row r="36" spans="24:24" x14ac:dyDescent="0.2">
      <c r="X36" s="32">
        <f>_xlfn.MAXIFS($U$20:$U36,$T$20:$T36,"H",$U$20:$U36,"&gt;="&amp;LOOKUP(2,1/($T$20:$T36="H")),$V$20:$V36,"&lt;=$"&amp;V36)</f>
        <v>0</v>
      </c>
    </row>
    <row r="37" spans="24:24" x14ac:dyDescent="0.2">
      <c r="X37" s="32">
        <f>_xlfn.MAXIFS($U$20:$U37,$T$20:$T37,"H",$U$20:$U37,"&gt;="&amp;LOOKUP(2,1/($T$20:$T37="H")),$V$20:$V37,"&lt;=$"&amp;V37)</f>
        <v>0</v>
      </c>
    </row>
    <row r="38" spans="24:24" x14ac:dyDescent="0.2">
      <c r="X38" s="32">
        <f>_xlfn.MAXIFS($U$20:$U38,$T$20:$T38,"H",$U$20:$U38,"&gt;="&amp;LOOKUP(2,1/($T$20:$T38="H")),$V$20:$V38,"&lt;=$"&amp;V38)</f>
        <v>0</v>
      </c>
    </row>
    <row r="39" spans="24:24" x14ac:dyDescent="0.2">
      <c r="X39" s="32">
        <f>_xlfn.MAXIFS($U$20:$U39,$T$20:$T39,"H",$U$20:$U39,"&gt;="&amp;LOOKUP(2,1/($T$20:$T39="H")),$V$20:$V39,"&lt;=$"&amp;V39)</f>
        <v>0</v>
      </c>
    </row>
    <row r="40" spans="24:24" x14ac:dyDescent="0.2">
      <c r="X40" s="32">
        <f>_xlfn.MAXIFS($U$20:$U40,$T$20:$T40,"H",$U$20:$U40,"&gt;="&amp;LOOKUP(2,1/($T$20:$T40="H")),$V$20:$V40,"&lt;=$"&amp;V40)</f>
        <v>0</v>
      </c>
    </row>
    <row r="41" spans="24:24" x14ac:dyDescent="0.2">
      <c r="X41" s="32">
        <f>_xlfn.MAXIFS($U$20:$U41,$T$20:$T41,"H",$U$20:$U41,"&gt;="&amp;LOOKUP(2,1/($T$20:$T41="H")),$V$20:$V41,"&lt;=$"&amp;V41)</f>
        <v>0</v>
      </c>
    </row>
    <row r="42" spans="24:24" x14ac:dyDescent="0.2">
      <c r="X42" s="32">
        <f>_xlfn.MAXIFS($U$20:$U42,$T$20:$T42,"H",$U$20:$U42,"&gt;="&amp;LOOKUP(2,1/($T$20:$T42="H")),$V$20:$V42,"&lt;=$"&amp;V42)</f>
        <v>0</v>
      </c>
    </row>
    <row r="43" spans="24:24" x14ac:dyDescent="0.2">
      <c r="X43" s="32">
        <f>_xlfn.MAXIFS($U$20:$U43,$T$20:$T43,"H",$U$20:$U43,"&gt;="&amp;LOOKUP(2,1/($T$20:$T43="H")),$V$20:$V43,"&lt;=$"&amp;V43)</f>
        <v>0</v>
      </c>
    </row>
    <row r="44" spans="24:24" x14ac:dyDescent="0.2">
      <c r="X44" s="32">
        <f>_xlfn.MAXIFS($U$20:$U44,$T$20:$T44,"H",$U$20:$U44,"&gt;="&amp;LOOKUP(2,1/($T$20:$T44="H")),$V$20:$V44,"&lt;=$"&amp;V44)</f>
        <v>0</v>
      </c>
    </row>
    <row r="45" spans="24:24" x14ac:dyDescent="0.2">
      <c r="X45" s="32">
        <f>_xlfn.MAXIFS($U$20:$U45,$T$20:$T45,"H",$U$20:$U45,"&gt;="&amp;LOOKUP(2,1/($T$20:$T45="H")),$V$20:$V45,"&lt;=$"&amp;V45)</f>
        <v>0</v>
      </c>
    </row>
    <row r="46" spans="24:24" x14ac:dyDescent="0.2">
      <c r="X46" s="32">
        <f>_xlfn.MAXIFS($U$20:$U46,$T$20:$T46,"H",$U$20:$U46,"&gt;="&amp;LOOKUP(2,1/($T$20:$T46="H")),$V$20:$V46,"&lt;=$"&amp;V46)</f>
        <v>0</v>
      </c>
    </row>
    <row r="47" spans="24:24" x14ac:dyDescent="0.2">
      <c r="X47" s="32">
        <f>_xlfn.MAXIFS($U$20:$U47,$T$20:$T47,"H",$U$20:$U47,"&gt;="&amp;LOOKUP(2,1/($T$20:$T47="H")),$V$20:$V47,"&lt;=$"&amp;V47)</f>
        <v>0</v>
      </c>
    </row>
    <row r="48" spans="24:24" x14ac:dyDescent="0.2">
      <c r="X48" s="32">
        <f>_xlfn.MAXIFS($U$20:$U48,$T$20:$T48,"H",$U$20:$U48,"&gt;="&amp;LOOKUP(2,1/($T$20:$T48="H")),$V$20:$V48,"&lt;=$"&amp;V48)</f>
        <v>0</v>
      </c>
    </row>
    <row r="49" spans="24:24" x14ac:dyDescent="0.2">
      <c r="X49" s="32">
        <f>_xlfn.MAXIFS($U$20:$U49,$T$20:$T49,"H",$U$20:$U49,"&gt;="&amp;LOOKUP(2,1/($T$20:$T49="H")),$V$20:$V49,"&lt;=$"&amp;V49)</f>
        <v>0</v>
      </c>
    </row>
    <row r="50" spans="24:24" x14ac:dyDescent="0.2">
      <c r="X50" s="32">
        <f>_xlfn.MAXIFS($U$20:$U50,$T$20:$T50,"H",$U$20:$U50,"&gt;="&amp;LOOKUP(2,1/($T$20:$T50="H")),$V$20:$V50,"&lt;=$"&amp;V50)</f>
        <v>0</v>
      </c>
    </row>
    <row r="51" spans="24:24" x14ac:dyDescent="0.2">
      <c r="X51" s="32">
        <f>_xlfn.MAXIFS($U$20:$U51,$T$20:$T51,"H",$U$20:$U51,"&gt;="&amp;LOOKUP(2,1/($T$20:$T51="H")),$V$20:$V51,"&lt;=$"&amp;V51)</f>
        <v>0</v>
      </c>
    </row>
    <row r="52" spans="24:24" x14ac:dyDescent="0.2">
      <c r="X52" s="32">
        <f>_xlfn.MAXIFS($U$20:$U52,$T$20:$T52,"H",$U$20:$U52,"&gt;="&amp;LOOKUP(2,1/($T$20:$T52="H")),$V$20:$V52,"&lt;=$"&amp;V52)</f>
        <v>0</v>
      </c>
    </row>
    <row r="53" spans="24:24" x14ac:dyDescent="0.2">
      <c r="X53" s="32">
        <f>_xlfn.MAXIFS($U$20:$U53,$T$20:$T53,"H",$U$20:$U53,"&gt;="&amp;LOOKUP(2,1/($T$20:$T53="H")),$V$20:$V53,"&lt;=$"&amp;V53)</f>
        <v>0</v>
      </c>
    </row>
    <row r="54" spans="24:24" x14ac:dyDescent="0.2">
      <c r="X54" s="32">
        <f>_xlfn.MAXIFS($U$20:$U54,$T$20:$T54,"H",$U$20:$U54,"&gt;="&amp;LOOKUP(2,1/($T$20:$T54="H")),$V$20:$V54,"&lt;=$"&amp;V54)</f>
        <v>0</v>
      </c>
    </row>
    <row r="55" spans="24:24" x14ac:dyDescent="0.2">
      <c r="X55" s="32">
        <f>_xlfn.MAXIFS($U$20:$U55,$T$20:$T55,"H",$U$20:$U55,"&gt;="&amp;LOOKUP(2,1/($T$20:$T55="H")),$V$20:$V55,"&lt;=$"&amp;V55)</f>
        <v>0</v>
      </c>
    </row>
    <row r="56" spans="24:24" x14ac:dyDescent="0.2">
      <c r="X56" s="32">
        <f>_xlfn.MAXIFS($U$20:$U56,$T$20:$T56,"H",$U$20:$U56,"&gt;="&amp;LOOKUP(2,1/($T$20:$T56="H")),$V$20:$V56,"&lt;=$"&amp;V56)</f>
        <v>0</v>
      </c>
    </row>
    <row r="57" spans="24:24" x14ac:dyDescent="0.2">
      <c r="X57" s="32">
        <f>_xlfn.MAXIFS($U$20:$U57,$T$20:$T57,"H",$U$20:$U57,"&gt;="&amp;LOOKUP(2,1/($T$20:$T57="H")),$V$20:$V57,"&lt;=$"&amp;V57)</f>
        <v>0</v>
      </c>
    </row>
    <row r="58" spans="24:24" x14ac:dyDescent="0.2">
      <c r="X58" s="32">
        <f>_xlfn.MAXIFS($U$20:$U58,$T$20:$T58,"H",$U$20:$U58,"&gt;="&amp;LOOKUP(2,1/($T$20:$T58="H")),$V$20:$V58,"&lt;=$"&amp;V58)</f>
        <v>0</v>
      </c>
    </row>
    <row r="59" spans="24:24" x14ac:dyDescent="0.2">
      <c r="X59" s="32">
        <f>_xlfn.MAXIFS($U$20:$U59,$T$20:$T59,"H",$U$20:$U59,"&gt;="&amp;LOOKUP(2,1/($T$20:$T59="H")),$V$20:$V59,"&lt;=$"&amp;V59)</f>
        <v>0</v>
      </c>
    </row>
    <row r="60" spans="24:24" x14ac:dyDescent="0.2">
      <c r="X60" s="32">
        <f>_xlfn.MAXIFS($U$20:$U60,$T$20:$T60,"H",$U$20:$U60,"&gt;="&amp;LOOKUP(2,1/($T$20:$T60="H")),$V$20:$V60,"&lt;=$"&amp;V60)</f>
        <v>0</v>
      </c>
    </row>
    <row r="61" spans="24:24" x14ac:dyDescent="0.2">
      <c r="X61" s="32">
        <f>_xlfn.MAXIFS($U$20:$U61,$T$20:$T61,"H",$U$20:$U61,"&gt;="&amp;LOOKUP(2,1/($T$20:$T61="H")),$V$20:$V61,"&lt;=$"&amp;V61)</f>
        <v>0</v>
      </c>
    </row>
    <row r="62" spans="24:24" x14ac:dyDescent="0.2">
      <c r="X62" s="32">
        <f>_xlfn.MAXIFS($U$20:$U62,$T$20:$T62,"H",$U$20:$U62,"&gt;="&amp;LOOKUP(2,1/($T$20:$T62="H")),$V$20:$V62,"&lt;=$"&amp;V62)</f>
        <v>0</v>
      </c>
    </row>
    <row r="63" spans="24:24" x14ac:dyDescent="0.2">
      <c r="X63" s="32">
        <f>_xlfn.MAXIFS($U$20:$U63,$T$20:$T63,"H",$U$20:$U63,"&gt;="&amp;LOOKUP(2,1/($T$20:$T63="H")),$V$20:$V63,"&lt;=$"&amp;V63)</f>
        <v>0</v>
      </c>
    </row>
    <row r="64" spans="24:24" x14ac:dyDescent="0.2">
      <c r="X64" s="32">
        <f>_xlfn.MAXIFS($U$20:$U64,$T$20:$T64,"H",$U$20:$U64,"&gt;="&amp;LOOKUP(2,1/($T$20:$T64="H")),$V$20:$V64,"&lt;=$"&amp;V64)</f>
        <v>0</v>
      </c>
    </row>
    <row r="65" spans="24:24" x14ac:dyDescent="0.2">
      <c r="X65" s="32">
        <f>_xlfn.MAXIFS($U$20:$U65,$T$20:$T65,"H",$U$20:$U65,"&gt;="&amp;LOOKUP(2,1/($T$20:$T65="H")),$V$20:$V65,"&lt;=$"&amp;V65)</f>
        <v>0</v>
      </c>
    </row>
    <row r="66" spans="24:24" x14ac:dyDescent="0.2">
      <c r="X66" s="32">
        <f>_xlfn.MAXIFS($U$20:$U66,$T$20:$T66,"H",$U$20:$U66,"&gt;="&amp;LOOKUP(2,1/($T$20:$T66="H")),$V$20:$V66,"&lt;=$"&amp;V66)</f>
        <v>0</v>
      </c>
    </row>
    <row r="67" spans="24:24" x14ac:dyDescent="0.2">
      <c r="X67" s="32">
        <f>_xlfn.MAXIFS($U$20:$U67,$T$20:$T67,"H",$U$20:$U67,"&gt;="&amp;LOOKUP(2,1/($T$20:$T67="H")),$V$20:$V67,"&lt;=$"&amp;V67)</f>
        <v>0</v>
      </c>
    </row>
    <row r="68" spans="24:24" x14ac:dyDescent="0.2">
      <c r="X68" s="32">
        <f>_xlfn.MAXIFS($U$20:$U68,$T$20:$T68,"H",$U$20:$U68,"&gt;="&amp;LOOKUP(2,1/($T$20:$T68="H")),$V$20:$V68,"&lt;=$"&amp;V68)</f>
        <v>0</v>
      </c>
    </row>
    <row r="69" spans="24:24" x14ac:dyDescent="0.2">
      <c r="X69" s="32">
        <f>_xlfn.MAXIFS($U$20:$U69,$T$20:$T69,"H",$U$20:$U69,"&gt;="&amp;LOOKUP(2,1/($T$20:$T69="H")),$V$20:$V69,"&lt;=$"&amp;V69)</f>
        <v>0</v>
      </c>
    </row>
    <row r="70" spans="24:24" x14ac:dyDescent="0.2">
      <c r="X70" s="32">
        <f>_xlfn.MAXIFS($U$20:$U70,$T$20:$T70,"H",$U$20:$U70,"&gt;="&amp;LOOKUP(2,1/($T$20:$T70="H")),$V$20:$V70,"&lt;=$"&amp;V70)</f>
        <v>0</v>
      </c>
    </row>
    <row r="71" spans="24:24" x14ac:dyDescent="0.2">
      <c r="X71" s="32">
        <f>_xlfn.MAXIFS($U$20:$U71,$T$20:$T71,"H",$U$20:$U71,"&gt;="&amp;LOOKUP(2,1/($T$20:$T71="H")),$V$20:$V71,"&lt;=$"&amp;V71)</f>
        <v>0</v>
      </c>
    </row>
    <row r="72" spans="24:24" x14ac:dyDescent="0.2">
      <c r="X72" s="32">
        <f>_xlfn.MAXIFS($U$20:$U72,$T$20:$T72,"H",$U$20:$U72,"&gt;="&amp;LOOKUP(2,1/($T$20:$T72="H")),$V$20:$V72,"&lt;=$"&amp;V72)</f>
        <v>0</v>
      </c>
    </row>
    <row r="73" spans="24:24" x14ac:dyDescent="0.2">
      <c r="X73" s="32">
        <f>_xlfn.MAXIFS($U$20:$U73,$T$20:$T73,"H",$U$20:$U73,"&gt;="&amp;LOOKUP(2,1/($T$20:$T73="H")),$V$20:$V73,"&lt;=$"&amp;V73)</f>
        <v>0</v>
      </c>
    </row>
    <row r="74" spans="24:24" x14ac:dyDescent="0.2">
      <c r="X74" s="32">
        <f>_xlfn.MAXIFS($U$20:$U74,$T$20:$T74,"H",$U$20:$U74,"&gt;="&amp;LOOKUP(2,1/($T$20:$T74="H")),$V$20:$V74,"&lt;=$"&amp;V74)</f>
        <v>0</v>
      </c>
    </row>
    <row r="75" spans="24:24" x14ac:dyDescent="0.2">
      <c r="X75" s="32">
        <f>_xlfn.MAXIFS($U$20:$U75,$T$20:$T75,"H",$U$20:$U75,"&gt;="&amp;LOOKUP(2,1/($T$20:$T75="H")),$V$20:$V75,"&lt;=$"&amp;V75)</f>
        <v>0</v>
      </c>
    </row>
    <row r="76" spans="24:24" x14ac:dyDescent="0.2">
      <c r="X76" s="32">
        <f>_xlfn.MAXIFS($U$20:$U76,$T$20:$T76,"H",$U$20:$U76,"&gt;="&amp;LOOKUP(2,1/($T$20:$T76="H")),$V$20:$V76,"&lt;=$"&amp;V76)</f>
        <v>0</v>
      </c>
    </row>
    <row r="77" spans="24:24" x14ac:dyDescent="0.2">
      <c r="X77" s="32">
        <f>_xlfn.MAXIFS($U$20:$U77,$T$20:$T77,"H",$U$20:$U77,"&gt;="&amp;LOOKUP(2,1/($T$20:$T77="H")),$V$20:$V77,"&lt;=$"&amp;V77)</f>
        <v>0</v>
      </c>
    </row>
    <row r="78" spans="24:24" x14ac:dyDescent="0.2">
      <c r="X78" s="32">
        <f>_xlfn.MAXIFS($U$20:$U78,$T$20:$T78,"H",$U$20:$U78,"&gt;="&amp;LOOKUP(2,1/($T$20:$T78="H")),$V$20:$V78,"&lt;=$"&amp;V78)</f>
        <v>0</v>
      </c>
    </row>
    <row r="79" spans="24:24" x14ac:dyDescent="0.2">
      <c r="X79" s="32">
        <f>_xlfn.MAXIFS($U$20:$U79,$T$20:$T79,"H",$U$20:$U79,"&gt;="&amp;LOOKUP(2,1/($T$20:$T79="H")),$V$20:$V79,"&lt;=$"&amp;V79)</f>
        <v>0</v>
      </c>
    </row>
    <row r="80" spans="24:24" x14ac:dyDescent="0.2">
      <c r="X80" s="32">
        <f>_xlfn.MAXIFS($U$20:$U80,$T$20:$T80,"H",$U$20:$U80,"&gt;="&amp;LOOKUP(2,1/($T$20:$T80="H")),$V$20:$V80,"&lt;=$"&amp;V80)</f>
        <v>0</v>
      </c>
    </row>
    <row r="81" spans="24:24" x14ac:dyDescent="0.2">
      <c r="X81" s="32">
        <f>_xlfn.MAXIFS($U$20:$U81,$T$20:$T81,"H",$U$20:$U81,"&gt;="&amp;LOOKUP(2,1/($T$20:$T81="H")),$V$20:$V81,"&lt;=$"&amp;V81)</f>
        <v>0</v>
      </c>
    </row>
    <row r="82" spans="24:24" x14ac:dyDescent="0.2">
      <c r="X82" s="32">
        <f>_xlfn.MAXIFS($U$20:$U82,$T$20:$T82,"H",$U$20:$U82,"&gt;="&amp;LOOKUP(2,1/($T$20:$T82="H")),$V$20:$V82,"&lt;=$"&amp;V82)</f>
        <v>0</v>
      </c>
    </row>
    <row r="83" spans="24:24" x14ac:dyDescent="0.2">
      <c r="X83" s="32">
        <f>_xlfn.MAXIFS($U$20:$U83,$T$20:$T83,"H",$U$20:$U83,"&gt;="&amp;LOOKUP(2,1/($T$20:$T83="H")),$V$20:$V83,"&lt;=$"&amp;V83)</f>
        <v>0</v>
      </c>
    </row>
    <row r="84" spans="24:24" x14ac:dyDescent="0.2">
      <c r="X84" s="32">
        <f>_xlfn.MAXIFS($U$20:$U84,$T$20:$T84,"H",$U$20:$U84,"&gt;="&amp;LOOKUP(2,1/($T$20:$T84="H")),$V$20:$V84,"&lt;=$"&amp;V84)</f>
        <v>0</v>
      </c>
    </row>
    <row r="85" spans="24:24" x14ac:dyDescent="0.2">
      <c r="X85" s="32">
        <f>_xlfn.MAXIFS($U$20:$U85,$T$20:$T85,"H",$U$20:$U85,"&gt;="&amp;LOOKUP(2,1/($T$20:$T85="H")),$V$20:$V85,"&lt;=$"&amp;V85)</f>
        <v>0</v>
      </c>
    </row>
    <row r="86" spans="24:24" x14ac:dyDescent="0.2">
      <c r="X86" s="32">
        <f>_xlfn.MAXIFS($U$20:$U86,$T$20:$T86,"H",$U$20:$U86,"&gt;="&amp;LOOKUP(2,1/($T$20:$T86="H")),$V$20:$V86,"&lt;=$"&amp;V86)</f>
        <v>0</v>
      </c>
    </row>
    <row r="87" spans="24:24" x14ac:dyDescent="0.2">
      <c r="X87" s="32">
        <f>_xlfn.MAXIFS($U$20:$U87,$T$20:$T87,"H",$U$20:$U87,"&gt;="&amp;LOOKUP(2,1/($T$20:$T87="H")),$V$20:$V87,"&lt;=$"&amp;V87)</f>
        <v>0</v>
      </c>
    </row>
    <row r="88" spans="24:24" x14ac:dyDescent="0.2">
      <c r="X88" s="32">
        <f>_xlfn.MAXIFS($U$20:$U88,$T$20:$T88,"H",$U$20:$U88,"&gt;="&amp;LOOKUP(2,1/($T$20:$T88="H")),$V$20:$V88,"&lt;=$"&amp;V88)</f>
        <v>0</v>
      </c>
    </row>
    <row r="89" spans="24:24" x14ac:dyDescent="0.2">
      <c r="X89" s="32">
        <f>_xlfn.MAXIFS($U$20:$U89,$T$20:$T89,"H",$U$20:$U89,"&gt;="&amp;LOOKUP(2,1/($T$20:$T89="H")),$V$20:$V89,"&lt;=$"&amp;V89)</f>
        <v>0</v>
      </c>
    </row>
    <row r="90" spans="24:24" x14ac:dyDescent="0.2">
      <c r="X90" s="32">
        <f>_xlfn.MAXIFS($U$20:$U90,$T$20:$T90,"H",$U$20:$U90,"&gt;="&amp;LOOKUP(2,1/($T$20:$T90="H")),$V$20:$V90,"&lt;=$"&amp;V90)</f>
        <v>0</v>
      </c>
    </row>
    <row r="91" spans="24:24" x14ac:dyDescent="0.2">
      <c r="X91" s="32">
        <f>_xlfn.MAXIFS($U$20:$U91,$T$20:$T91,"H",$U$20:$U91,"&gt;="&amp;LOOKUP(2,1/($T$20:$T91="H")),$V$20:$V91,"&lt;=$"&amp;V91)</f>
        <v>0</v>
      </c>
    </row>
    <row r="92" spans="24:24" x14ac:dyDescent="0.2">
      <c r="X92" s="32">
        <f>_xlfn.MAXIFS($U$20:$U92,$T$20:$T92,"H",$U$20:$U92,"&gt;="&amp;LOOKUP(2,1/($T$20:$T92="H")),$V$20:$V92,"&lt;=$"&amp;V92)</f>
        <v>0</v>
      </c>
    </row>
    <row r="93" spans="24:24" x14ac:dyDescent="0.2">
      <c r="X93" s="32">
        <f>_xlfn.MAXIFS($U$20:$U93,$T$20:$T93,"H",$U$20:$U93,"&gt;="&amp;LOOKUP(2,1/($T$20:$T93="H")),$V$20:$V93,"&lt;=$"&amp;V93)</f>
        <v>0</v>
      </c>
    </row>
    <row r="94" spans="24:24" x14ac:dyDescent="0.2">
      <c r="X94" s="32">
        <f>_xlfn.MAXIFS($U$20:$U94,$T$20:$T94,"H",$U$20:$U94,"&gt;="&amp;LOOKUP(2,1/($T$20:$T94="H")),$V$20:$V94,"&lt;=$"&amp;V94)</f>
        <v>0</v>
      </c>
    </row>
    <row r="95" spans="24:24" x14ac:dyDescent="0.2">
      <c r="X95" s="32">
        <f>_xlfn.MAXIFS($U$20:$U95,$T$20:$T95,"H",$U$20:$U95,"&gt;="&amp;LOOKUP(2,1/($T$20:$T95="H")),$V$20:$V95,"&lt;=$"&amp;V95)</f>
        <v>0</v>
      </c>
    </row>
    <row r="96" spans="24:24" x14ac:dyDescent="0.2">
      <c r="X96" s="32">
        <f>_xlfn.MAXIFS($U$20:$U96,$T$20:$T96,"H",$U$20:$U96,"&gt;="&amp;LOOKUP(2,1/($T$20:$T96="H")),$V$20:$V96,"&lt;=$"&amp;V96)</f>
        <v>0</v>
      </c>
    </row>
    <row r="97" spans="24:24" x14ac:dyDescent="0.2">
      <c r="X97" s="32">
        <f>_xlfn.MAXIFS($U$20:$U97,$T$20:$T97,"H",$U$20:$U97,"&gt;="&amp;LOOKUP(2,1/($T$20:$T97="H")),$V$20:$V97,"&lt;=$"&amp;V97)</f>
        <v>0</v>
      </c>
    </row>
    <row r="98" spans="24:24" x14ac:dyDescent="0.2">
      <c r="X98" s="32">
        <f>_xlfn.MAXIFS($U$20:$U98,$T$20:$T98,"H",$U$20:$U98,"&gt;="&amp;LOOKUP(2,1/($T$20:$T98="H")),$V$20:$V98,"&lt;=$"&amp;V98)</f>
        <v>0</v>
      </c>
    </row>
    <row r="99" spans="24:24" x14ac:dyDescent="0.2">
      <c r="X99" s="32">
        <f>_xlfn.MAXIFS($U$20:$U99,$T$20:$T99,"H",$U$20:$U99,"&gt;="&amp;LOOKUP(2,1/($T$20:$T99="H")),$V$20:$V99,"&lt;=$"&amp;V99)</f>
        <v>0</v>
      </c>
    </row>
    <row r="100" spans="24:24" x14ac:dyDescent="0.2">
      <c r="X100" s="32">
        <f>_xlfn.MAXIFS($U$20:$U100,$T$20:$T100,"H",$U$20:$U100,"&gt;="&amp;LOOKUP(2,1/($T$20:$T100="H")),$V$20:$V100,"&lt;=$"&amp;V100)</f>
        <v>0</v>
      </c>
    </row>
    <row r="101" spans="24:24" x14ac:dyDescent="0.2">
      <c r="X101" s="32">
        <f>_xlfn.MAXIFS($U$20:$U101,$T$20:$T101,"H",$U$20:$U101,"&gt;="&amp;LOOKUP(2,1/($T$20:$T101="H")),$V$20:$V101,"&lt;=$"&amp;V101)</f>
        <v>0</v>
      </c>
    </row>
    <row r="102" spans="24:24" x14ac:dyDescent="0.2">
      <c r="X102" s="32">
        <f>_xlfn.MAXIFS($U$20:$U102,$T$20:$T102,"H",$U$20:$U102,"&gt;="&amp;LOOKUP(2,1/($T$20:$T102="H")),$V$20:$V102,"&lt;=$"&amp;V102)</f>
        <v>0</v>
      </c>
    </row>
    <row r="103" spans="24:24" x14ac:dyDescent="0.2">
      <c r="X103" s="32">
        <f>_xlfn.MAXIFS($U$20:$U103,$T$20:$T103,"H",$U$20:$U103,"&gt;="&amp;LOOKUP(2,1/($T$20:$T103="H")),$V$20:$V103,"&lt;=$"&amp;V103)</f>
        <v>0</v>
      </c>
    </row>
    <row r="104" spans="24:24" x14ac:dyDescent="0.2">
      <c r="X104" s="32">
        <f>_xlfn.MAXIFS($U$20:$U104,$T$20:$T104,"H",$U$20:$U104,"&gt;="&amp;LOOKUP(2,1/($T$20:$T104="H")),$V$20:$V104,"&lt;=$"&amp;V104)</f>
        <v>0</v>
      </c>
    </row>
    <row r="105" spans="24:24" x14ac:dyDescent="0.2">
      <c r="X105" s="32">
        <f>_xlfn.MAXIFS($U$20:$U105,$T$20:$T105,"H",$U$20:$U105,"&gt;="&amp;LOOKUP(2,1/($T$20:$T105="H")),$V$20:$V105,"&lt;=$"&amp;V105)</f>
        <v>0</v>
      </c>
    </row>
    <row r="106" spans="24:24" x14ac:dyDescent="0.2">
      <c r="X106" s="32">
        <f>_xlfn.MAXIFS($U$20:$U106,$T$20:$T106,"H",$U$20:$U106,"&gt;="&amp;LOOKUP(2,1/($T$20:$T106="H")),$V$20:$V106,"&lt;=$"&amp;V106)</f>
        <v>0</v>
      </c>
    </row>
    <row r="107" spans="24:24" x14ac:dyDescent="0.2">
      <c r="X107" s="32">
        <f>_xlfn.MAXIFS($U$20:$U107,$T$20:$T107,"H",$U$20:$U107,"&gt;="&amp;LOOKUP(2,1/($T$20:$T107="H")),$V$20:$V107,"&lt;=$"&amp;V107)</f>
        <v>0</v>
      </c>
    </row>
    <row r="108" spans="24:24" x14ac:dyDescent="0.2">
      <c r="X108" s="32">
        <f>_xlfn.MAXIFS($U$20:$U108,$T$20:$T108,"H",$U$20:$U108,"&gt;="&amp;LOOKUP(2,1/($T$20:$T108="H")),$V$20:$V108,"&lt;=$"&amp;V108)</f>
        <v>0</v>
      </c>
    </row>
    <row r="109" spans="24:24" x14ac:dyDescent="0.2">
      <c r="X109" s="32">
        <f>_xlfn.MAXIFS($U$20:$U109,$T$20:$T109,"H",$U$20:$U109,"&gt;="&amp;LOOKUP(2,1/($T$20:$T109="H")),$V$20:$V109,"&lt;=$"&amp;V109)</f>
        <v>0</v>
      </c>
    </row>
    <row r="110" spans="24:24" x14ac:dyDescent="0.2">
      <c r="X110" s="32">
        <f>_xlfn.MAXIFS($U$20:$U110,$T$20:$T110,"H",$U$20:$U110,"&gt;="&amp;LOOKUP(2,1/($T$20:$T110="H")),$V$20:$V110,"&lt;=$"&amp;V110)</f>
        <v>0</v>
      </c>
    </row>
    <row r="111" spans="24:24" x14ac:dyDescent="0.2">
      <c r="X111" s="32">
        <f>_xlfn.MAXIFS($U$20:$U111,$T$20:$T111,"H",$U$20:$U111,"&gt;="&amp;LOOKUP(2,1/($T$20:$T111="H")),$V$20:$V111,"&lt;=$"&amp;V111)</f>
        <v>0</v>
      </c>
    </row>
    <row r="112" spans="24:24" x14ac:dyDescent="0.2">
      <c r="X112" s="32">
        <f>_xlfn.MAXIFS($U$20:$U112,$T$20:$T112,"H",$U$20:$U112,"&gt;="&amp;LOOKUP(2,1/($T$20:$T112="H")),$V$20:$V112,"&lt;=$"&amp;V112)</f>
        <v>0</v>
      </c>
    </row>
    <row r="113" spans="24:24" x14ac:dyDescent="0.2">
      <c r="X113" s="32">
        <f>_xlfn.MAXIFS($U$20:$U113,$T$20:$T113,"H",$U$20:$U113,"&gt;="&amp;LOOKUP(2,1/($T$20:$T113="H")),$V$20:$V113,"&lt;=$"&amp;V113)</f>
        <v>0</v>
      </c>
    </row>
    <row r="114" spans="24:24" x14ac:dyDescent="0.2">
      <c r="X114" s="32">
        <f>_xlfn.MAXIFS($U$20:$U114,$T$20:$T114,"H",$U$20:$U114,"&gt;="&amp;LOOKUP(2,1/($T$20:$T114="H")),$V$20:$V114,"&lt;=$"&amp;V114)</f>
        <v>0</v>
      </c>
    </row>
    <row r="115" spans="24:24" x14ac:dyDescent="0.2">
      <c r="X115" s="32">
        <f>_xlfn.MAXIFS($U$20:$U115,$T$20:$T115,"H",$U$20:$U115,"&gt;="&amp;LOOKUP(2,1/($T$20:$T115="H")),$V$20:$V115,"&lt;=$"&amp;V115)</f>
        <v>0</v>
      </c>
    </row>
    <row r="116" spans="24:24" x14ac:dyDescent="0.2">
      <c r="X116" s="32">
        <f>_xlfn.MAXIFS($U$20:$U116,$T$20:$T116,"H",$U$20:$U116,"&gt;="&amp;LOOKUP(2,1/($T$20:$T116="H")),$V$20:$V116,"&lt;=$"&amp;V116)</f>
        <v>0</v>
      </c>
    </row>
    <row r="117" spans="24:24" x14ac:dyDescent="0.2">
      <c r="X117" s="32">
        <f>_xlfn.MAXIFS($U$20:$U117,$T$20:$T117,"H",$U$20:$U117,"&gt;="&amp;LOOKUP(2,1/($T$20:$T117="H")),$V$20:$V117,"&lt;=$"&amp;V117)</f>
        <v>0</v>
      </c>
    </row>
    <row r="118" spans="24:24" x14ac:dyDescent="0.2">
      <c r="X118" s="32">
        <f>_xlfn.MAXIFS($U$20:$U118,$T$20:$T118,"H",$U$20:$U118,"&gt;="&amp;LOOKUP(2,1/($T$20:$T118="H")),$V$20:$V118,"&lt;=$"&amp;V118)</f>
        <v>0</v>
      </c>
    </row>
    <row r="119" spans="24:24" x14ac:dyDescent="0.2">
      <c r="X119" s="32">
        <f>_xlfn.MAXIFS($U$20:$U119,$T$20:$T119,"H",$U$20:$U119,"&gt;="&amp;LOOKUP(2,1/($T$20:$T119="H")),$V$20:$V119,"&lt;=$"&amp;V119)</f>
        <v>0</v>
      </c>
    </row>
    <row r="120" spans="24:24" x14ac:dyDescent="0.2">
      <c r="X120" s="32">
        <f>_xlfn.MAXIFS($U$20:$U120,$T$20:$T120,"H",$U$20:$U120,"&gt;="&amp;LOOKUP(2,1/($T$20:$T120="H")),$V$20:$V120,"&lt;=$"&amp;V120)</f>
        <v>0</v>
      </c>
    </row>
    <row r="121" spans="24:24" x14ac:dyDescent="0.2">
      <c r="X121" s="32">
        <f>_xlfn.MAXIFS($U$20:$U121,$T$20:$T121,"H",$U$20:$U121,"&gt;="&amp;LOOKUP(2,1/($T$20:$T121="H")),$V$20:$V121,"&lt;=$"&amp;V121)</f>
        <v>0</v>
      </c>
    </row>
    <row r="122" spans="24:24" x14ac:dyDescent="0.2">
      <c r="X122" s="32">
        <f>_xlfn.MAXIFS($U$20:$U122,$T$20:$T122,"H",$U$20:$U122,"&gt;="&amp;LOOKUP(2,1/($T$20:$T122="H")),$V$20:$V122,"&lt;=$"&amp;V122)</f>
        <v>0</v>
      </c>
    </row>
    <row r="123" spans="24:24" x14ac:dyDescent="0.2">
      <c r="X123" s="32">
        <f>_xlfn.MAXIFS($U$20:$U123,$T$20:$T123,"H",$U$20:$U123,"&gt;="&amp;LOOKUP(2,1/($T$20:$T123="H")),$V$20:$V123,"&lt;=$"&amp;V123)</f>
        <v>0</v>
      </c>
    </row>
    <row r="124" spans="24:24" x14ac:dyDescent="0.2">
      <c r="X124" s="32">
        <f>_xlfn.MAXIFS($U$20:$U124,$T$20:$T124,"H",$U$20:$U124,"&gt;="&amp;LOOKUP(2,1/($T$20:$T124="H")),$V$20:$V124,"&lt;=$"&amp;V124)</f>
        <v>0</v>
      </c>
    </row>
    <row r="125" spans="24:24" x14ac:dyDescent="0.2">
      <c r="X125" s="32">
        <f>_xlfn.MAXIFS($U$20:$U125,$T$20:$T125,"H",$U$20:$U125,"&gt;="&amp;LOOKUP(2,1/($T$20:$T125="H")),$V$20:$V125,"&lt;=$"&amp;V125)</f>
        <v>0</v>
      </c>
    </row>
    <row r="126" spans="24:24" x14ac:dyDescent="0.2">
      <c r="X126" s="32">
        <f>_xlfn.MAXIFS($U$20:$U126,$T$20:$T126,"H",$U$20:$U126,"&gt;="&amp;LOOKUP(2,1/($T$20:$T126="H")),$V$20:$V126,"&lt;=$"&amp;V126)</f>
        <v>0</v>
      </c>
    </row>
    <row r="127" spans="24:24" x14ac:dyDescent="0.2">
      <c r="X127" s="32">
        <f>_xlfn.MAXIFS($U$20:$U127,$T$20:$T127,"H",$U$20:$U127,"&gt;="&amp;LOOKUP(2,1/($T$20:$T127="H")),$V$20:$V127,"&lt;=$"&amp;V127)</f>
        <v>0</v>
      </c>
    </row>
    <row r="128" spans="24:24" x14ac:dyDescent="0.2">
      <c r="X128" s="32">
        <f>_xlfn.MAXIFS($U$20:$U128,$T$20:$T128,"H",$U$20:$U128,"&gt;="&amp;LOOKUP(2,1/($T$20:$T128="H")),$V$20:$V128,"&lt;=$"&amp;V128)</f>
        <v>0</v>
      </c>
    </row>
    <row r="129" spans="24:24" x14ac:dyDescent="0.2">
      <c r="X129" s="32">
        <f>_xlfn.MAXIFS($U$20:$U129,$T$20:$T129,"H",$U$20:$U129,"&gt;="&amp;LOOKUP(2,1/($T$20:$T129="H")),$V$20:$V129,"&lt;=$"&amp;V129)</f>
        <v>0</v>
      </c>
    </row>
    <row r="130" spans="24:24" x14ac:dyDescent="0.2">
      <c r="X130" s="32">
        <f>_xlfn.MAXIFS($U$20:$U130,$T$20:$T130,"H",$U$20:$U130,"&gt;="&amp;LOOKUP(2,1/($T$20:$T130="H")),$V$20:$V130,"&lt;=$"&amp;V130)</f>
        <v>0</v>
      </c>
    </row>
    <row r="131" spans="24:24" x14ac:dyDescent="0.2">
      <c r="X131" s="32">
        <f>_xlfn.MAXIFS($U$20:$U131,$T$20:$T131,"H",$U$20:$U131,"&gt;="&amp;LOOKUP(2,1/($T$20:$T131="H")),$V$20:$V131,"&lt;=$"&amp;V131)</f>
        <v>0</v>
      </c>
    </row>
    <row r="132" spans="24:24" x14ac:dyDescent="0.2">
      <c r="X132" s="32">
        <f>_xlfn.MAXIFS($U$20:$U132,$T$20:$T132,"H",$U$20:$U132,"&gt;="&amp;LOOKUP(2,1/($T$20:$T132="H")),$V$20:$V132,"&lt;=$"&amp;V132)</f>
        <v>0</v>
      </c>
    </row>
    <row r="133" spans="24:24" x14ac:dyDescent="0.2">
      <c r="X133" s="32">
        <f>_xlfn.MAXIFS($U$20:$U133,$T$20:$T133,"H",$U$20:$U133,"&gt;="&amp;LOOKUP(2,1/($T$20:$T133="H")),$V$20:$V133,"&lt;=$"&amp;V133)</f>
        <v>0</v>
      </c>
    </row>
    <row r="134" spans="24:24" x14ac:dyDescent="0.2">
      <c r="X134" s="32">
        <f>_xlfn.MAXIFS($U$20:$U134,$T$20:$T134,"H",$U$20:$U134,"&gt;="&amp;LOOKUP(2,1/($T$20:$T134="H")),$V$20:$V134,"&lt;=$"&amp;V134)</f>
        <v>0</v>
      </c>
    </row>
    <row r="135" spans="24:24" x14ac:dyDescent="0.2">
      <c r="X135" s="32">
        <f>_xlfn.MAXIFS($U$20:$U135,$T$20:$T135,"H",$U$20:$U135,"&gt;="&amp;LOOKUP(2,1/($T$20:$T135="H")),$V$20:$V135,"&lt;=$"&amp;V135)</f>
        <v>0</v>
      </c>
    </row>
    <row r="136" spans="24:24" x14ac:dyDescent="0.2">
      <c r="X136" s="32">
        <f>_xlfn.MAXIFS($U$20:$U136,$T$20:$T136,"H",$U$20:$U136,"&gt;="&amp;LOOKUP(2,1/($T$20:$T136="H")),$V$20:$V136,"&lt;=$"&amp;V136)</f>
        <v>0</v>
      </c>
    </row>
    <row r="137" spans="24:24" x14ac:dyDescent="0.2">
      <c r="X137" s="32">
        <f>_xlfn.MAXIFS($U$20:$U137,$T$20:$T137,"H",$U$20:$U137,"&gt;="&amp;LOOKUP(2,1/($T$20:$T137="H")),$V$20:$V137,"&lt;=$"&amp;V137)</f>
        <v>0</v>
      </c>
    </row>
    <row r="138" spans="24:24" x14ac:dyDescent="0.2">
      <c r="X138" s="32">
        <f>_xlfn.MAXIFS($U$20:$U138,$T$20:$T138,"H",$U$20:$U138,"&gt;="&amp;LOOKUP(2,1/($T$20:$T138="H")),$V$20:$V138,"&lt;=$"&amp;V138)</f>
        <v>0</v>
      </c>
    </row>
    <row r="139" spans="24:24" x14ac:dyDescent="0.2">
      <c r="X139" s="32">
        <f>_xlfn.MAXIFS($U$20:$U139,$T$20:$T139,"H",$U$20:$U139,"&gt;="&amp;LOOKUP(2,1/($T$20:$T139="H")),$V$20:$V139,"&lt;=$"&amp;V139)</f>
        <v>0</v>
      </c>
    </row>
    <row r="140" spans="24:24" x14ac:dyDescent="0.2">
      <c r="X140" s="32">
        <f>_xlfn.MAXIFS($U$20:$U140,$T$20:$T140,"H",$U$20:$U140,"&gt;="&amp;LOOKUP(2,1/($T$20:$T140="H")),$V$20:$V140,"&lt;=$"&amp;V140)</f>
        <v>0</v>
      </c>
    </row>
    <row r="141" spans="24:24" x14ac:dyDescent="0.2">
      <c r="X141" s="32">
        <f>_xlfn.MAXIFS($U$20:$U141,$T$20:$T141,"H",$U$20:$U141,"&gt;="&amp;LOOKUP(2,1/($T$20:$T141="H")),$V$20:$V141,"&lt;=$"&amp;V141)</f>
        <v>0</v>
      </c>
    </row>
    <row r="142" spans="24:24" x14ac:dyDescent="0.2">
      <c r="X142" s="32">
        <f>_xlfn.MAXIFS($U$20:$U142,$T$20:$T142,"H",$U$20:$U142,"&gt;="&amp;LOOKUP(2,1/($T$20:$T142="H")),$V$20:$V142,"&lt;=$"&amp;V142)</f>
        <v>0</v>
      </c>
    </row>
    <row r="143" spans="24:24" x14ac:dyDescent="0.2">
      <c r="X143" s="32">
        <f>_xlfn.MAXIFS($U$20:$U143,$T$20:$T143,"H",$U$20:$U143,"&gt;="&amp;LOOKUP(2,1/($T$20:$T143="H")),$V$20:$V143,"&lt;=$"&amp;V143)</f>
        <v>0</v>
      </c>
    </row>
    <row r="144" spans="24:24" x14ac:dyDescent="0.2">
      <c r="X144" s="32">
        <f>_xlfn.MAXIFS($U$20:$U144,$T$20:$T144,"H",$U$20:$U144,"&gt;="&amp;LOOKUP(2,1/($T$20:$T144="H")),$V$20:$V144,"&lt;=$"&amp;V144)</f>
        <v>0</v>
      </c>
    </row>
    <row r="145" spans="24:24" x14ac:dyDescent="0.2">
      <c r="X145" s="32">
        <f>_xlfn.MAXIFS($U$20:$U145,$T$20:$T145,"H",$U$20:$U145,"&gt;="&amp;LOOKUP(2,1/($T$20:$T145="H")),$V$20:$V145,"&lt;=$"&amp;V145)</f>
        <v>0</v>
      </c>
    </row>
    <row r="146" spans="24:24" x14ac:dyDescent="0.2">
      <c r="X146" s="32">
        <f>_xlfn.MAXIFS($U$20:$U146,$T$20:$T146,"H",$U$20:$U146,"&gt;="&amp;LOOKUP(2,1/($T$20:$T146="H")),$V$20:$V146,"&lt;=$"&amp;V146)</f>
        <v>0</v>
      </c>
    </row>
    <row r="147" spans="24:24" x14ac:dyDescent="0.2">
      <c r="X147" s="32">
        <f>_xlfn.MAXIFS($U$20:$U147,$T$20:$T147,"H",$U$20:$U147,"&gt;="&amp;LOOKUP(2,1/($T$20:$T147="H")),$V$20:$V147,"&lt;=$"&amp;V147)</f>
        <v>0</v>
      </c>
    </row>
    <row r="148" spans="24:24" x14ac:dyDescent="0.2">
      <c r="X148" s="32">
        <f>_xlfn.MAXIFS($U$20:$U148,$T$20:$T148,"H",$U$20:$U148,"&gt;="&amp;LOOKUP(2,1/($T$20:$T148="H")),$V$20:$V148,"&lt;=$"&amp;V148)</f>
        <v>0</v>
      </c>
    </row>
    <row r="149" spans="24:24" x14ac:dyDescent="0.2">
      <c r="X149" s="32">
        <f>_xlfn.MAXIFS($U$20:$U149,$T$20:$T149,"H",$U$20:$U149,"&gt;="&amp;LOOKUP(2,1/($T$20:$T149="H")),$V$20:$V149,"&lt;=$"&amp;V149)</f>
        <v>0</v>
      </c>
    </row>
    <row r="150" spans="24:24" x14ac:dyDescent="0.2">
      <c r="X150" s="32">
        <f>_xlfn.MAXIFS($U$20:$U150,$T$20:$T150,"H",$U$20:$U150,"&gt;="&amp;LOOKUP(2,1/($T$20:$T150="H")),$V$20:$V150,"&lt;=$"&amp;V150)</f>
        <v>0</v>
      </c>
    </row>
    <row r="151" spans="24:24" x14ac:dyDescent="0.2">
      <c r="X151" s="32">
        <f>_xlfn.MAXIFS($U$20:$U151,$T$20:$T151,"H",$U$20:$U151,"&gt;="&amp;LOOKUP(2,1/($T$20:$T151="H")),$V$20:$V151,"&lt;=$"&amp;V151)</f>
        <v>0</v>
      </c>
    </row>
    <row r="152" spans="24:24" x14ac:dyDescent="0.2">
      <c r="X152" s="32">
        <f>_xlfn.MAXIFS($U$20:$U152,$T$20:$T152,"H",$U$20:$U152,"&gt;="&amp;LOOKUP(2,1/($T$20:$T152="H")),$V$20:$V152,"&lt;=$"&amp;V152)</f>
        <v>0</v>
      </c>
    </row>
    <row r="153" spans="24:24" x14ac:dyDescent="0.2">
      <c r="X153" s="32">
        <f>_xlfn.MAXIFS($U$20:$U153,$T$20:$T153,"H",$U$20:$U153,"&gt;="&amp;LOOKUP(2,1/($T$20:$T153="H")),$V$20:$V153,"&lt;=$"&amp;V153)</f>
        <v>0</v>
      </c>
    </row>
    <row r="154" spans="24:24" x14ac:dyDescent="0.2">
      <c r="X154" s="32">
        <f>_xlfn.MAXIFS($U$20:$U154,$T$20:$T154,"H",$U$20:$U154,"&gt;="&amp;LOOKUP(2,1/($T$20:$T154="H")),$V$20:$V154,"&lt;=$"&amp;V154)</f>
        <v>0</v>
      </c>
    </row>
    <row r="155" spans="24:24" x14ac:dyDescent="0.2">
      <c r="X155" s="32">
        <f>_xlfn.MAXIFS($U$20:$U155,$T$20:$T155,"H",$U$20:$U155,"&gt;="&amp;LOOKUP(2,1/($T$20:$T155="H")),$V$20:$V155,"&lt;=$"&amp;V155)</f>
        <v>0</v>
      </c>
    </row>
    <row r="156" spans="24:24" x14ac:dyDescent="0.2">
      <c r="X156" s="32">
        <f>_xlfn.MAXIFS($U$20:$U156,$T$20:$T156,"H",$U$20:$U156,"&gt;="&amp;LOOKUP(2,1/($T$20:$T156="H")),$V$20:$V156,"&lt;=$"&amp;V156)</f>
        <v>0</v>
      </c>
    </row>
    <row r="157" spans="24:24" x14ac:dyDescent="0.2">
      <c r="X157" s="32">
        <f>_xlfn.MAXIFS($U$20:$U157,$T$20:$T157,"H",$U$20:$U157,"&gt;="&amp;LOOKUP(2,1/($T$20:$T157="H")),$V$20:$V157,"&lt;=$"&amp;V157)</f>
        <v>0</v>
      </c>
    </row>
    <row r="158" spans="24:24" x14ac:dyDescent="0.2">
      <c r="X158" s="32">
        <f>_xlfn.MAXIFS($U$20:$U158,$T$20:$T158,"H",$U$20:$U158,"&gt;="&amp;LOOKUP(2,1/($T$20:$T158="H")),$V$20:$V158,"&lt;=$"&amp;V158)</f>
        <v>0</v>
      </c>
    </row>
    <row r="159" spans="24:24" x14ac:dyDescent="0.2">
      <c r="X159" s="32">
        <f>_xlfn.MAXIFS($U$20:$U159,$T$20:$T159,"H",$U$20:$U159,"&gt;="&amp;LOOKUP(2,1/($T$20:$T159="H")),$V$20:$V159,"&lt;=$"&amp;V159)</f>
        <v>0</v>
      </c>
    </row>
    <row r="160" spans="24:24" x14ac:dyDescent="0.2">
      <c r="X160" s="32">
        <f>_xlfn.MAXIFS($U$20:$U160,$T$20:$T160,"H",$U$20:$U160,"&gt;="&amp;LOOKUP(2,1/($T$20:$T160="H")),$V$20:$V160,"&lt;=$"&amp;V160)</f>
        <v>0</v>
      </c>
    </row>
    <row r="161" spans="24:24" x14ac:dyDescent="0.2">
      <c r="X161" s="32">
        <f>_xlfn.MAXIFS($U$20:$U161,$T$20:$T161,"H",$U$20:$U161,"&gt;="&amp;LOOKUP(2,1/($T$20:$T161="H")),$V$20:$V161,"&lt;=$"&amp;V161)</f>
        <v>0</v>
      </c>
    </row>
    <row r="162" spans="24:24" x14ac:dyDescent="0.2">
      <c r="X162" s="32">
        <f>_xlfn.MAXIFS($U$20:$U162,$T$20:$T162,"H",$U$20:$U162,"&gt;="&amp;LOOKUP(2,1/($T$20:$T162="H")),$V$20:$V162,"&lt;=$"&amp;V162)</f>
        <v>0</v>
      </c>
    </row>
    <row r="163" spans="24:24" x14ac:dyDescent="0.2">
      <c r="X163" s="32">
        <f>_xlfn.MAXIFS($U$20:$U163,$T$20:$T163,"H",$U$20:$U163,"&gt;="&amp;LOOKUP(2,1/($T$20:$T163="H")),$V$20:$V163,"&lt;=$"&amp;V163)</f>
        <v>0</v>
      </c>
    </row>
    <row r="164" spans="24:24" x14ac:dyDescent="0.2">
      <c r="X164" s="32">
        <f>_xlfn.MAXIFS($U$20:$U164,$T$20:$T164,"H",$U$20:$U164,"&gt;="&amp;LOOKUP(2,1/($T$20:$T164="H")),$V$20:$V164,"&lt;=$"&amp;V164)</f>
        <v>0</v>
      </c>
    </row>
    <row r="165" spans="24:24" x14ac:dyDescent="0.2">
      <c r="X165" s="32">
        <f>_xlfn.MAXIFS($U$20:$U165,$T$20:$T165,"H",$U$20:$U165,"&gt;="&amp;LOOKUP(2,1/($T$20:$T165="H")),$V$20:$V165,"&lt;=$"&amp;V165)</f>
        <v>0</v>
      </c>
    </row>
    <row r="166" spans="24:24" x14ac:dyDescent="0.2">
      <c r="X166" s="32">
        <f>_xlfn.MAXIFS($U$20:$U166,$T$20:$T166,"H",$U$20:$U166,"&gt;="&amp;LOOKUP(2,1/($T$20:$T166="H")),$V$20:$V166,"&lt;=$"&amp;V166)</f>
        <v>0</v>
      </c>
    </row>
    <row r="167" spans="24:24" x14ac:dyDescent="0.2">
      <c r="X167" s="32">
        <f>_xlfn.MAXIFS($U$20:$U167,$T$20:$T167,"H",$U$20:$U167,"&gt;="&amp;LOOKUP(2,1/($T$20:$T167="H")),$V$20:$V167,"&lt;=$"&amp;V167)</f>
        <v>0</v>
      </c>
    </row>
    <row r="168" spans="24:24" x14ac:dyDescent="0.2">
      <c r="X168" s="32">
        <f>_xlfn.MAXIFS($U$20:$U168,$T$20:$T168,"H",$U$20:$U168,"&gt;="&amp;LOOKUP(2,1/($T$20:$T168="H")),$V$20:$V168,"&lt;=$"&amp;V168)</f>
        <v>0</v>
      </c>
    </row>
    <row r="169" spans="24:24" x14ac:dyDescent="0.2">
      <c r="X169" s="32">
        <f>_xlfn.MAXIFS($U$20:$U169,$T$20:$T169,"H",$U$20:$U169,"&gt;="&amp;LOOKUP(2,1/($T$20:$T169="H")),$V$20:$V169,"&lt;=$"&amp;V169)</f>
        <v>0</v>
      </c>
    </row>
    <row r="170" spans="24:24" x14ac:dyDescent="0.2">
      <c r="X170" s="32">
        <f>_xlfn.MAXIFS($U$20:$U170,$T$20:$T170,"H",$U$20:$U170,"&gt;="&amp;LOOKUP(2,1/($T$20:$T170="H")),$V$20:$V170,"&lt;=$"&amp;V170)</f>
        <v>0</v>
      </c>
    </row>
    <row r="171" spans="24:24" x14ac:dyDescent="0.2">
      <c r="X171" s="32">
        <f>_xlfn.MAXIFS($U$20:$U171,$T$20:$T171,"H",$U$20:$U171,"&gt;="&amp;LOOKUP(2,1/($T$20:$T171="H")),$V$20:$V171,"&lt;=$"&amp;V171)</f>
        <v>0</v>
      </c>
    </row>
    <row r="172" spans="24:24" x14ac:dyDescent="0.2">
      <c r="X172" s="32">
        <f>_xlfn.MAXIFS($U$20:$U172,$T$20:$T172,"H",$U$20:$U172,"&gt;="&amp;LOOKUP(2,1/($T$20:$T172="H")),$V$20:$V172,"&lt;=$"&amp;V172)</f>
        <v>0</v>
      </c>
    </row>
    <row r="173" spans="24:24" x14ac:dyDescent="0.2">
      <c r="X173" s="32">
        <f>_xlfn.MAXIFS($U$20:$U173,$T$20:$T173,"H",$U$20:$U173,"&gt;="&amp;LOOKUP(2,1/($T$20:$T173="H")),$V$20:$V173,"&lt;=$"&amp;V173)</f>
        <v>0</v>
      </c>
    </row>
    <row r="174" spans="24:24" x14ac:dyDescent="0.2">
      <c r="X174" s="32">
        <f>_xlfn.MAXIFS($U$20:$U174,$T$20:$T174,"H",$U$20:$U174,"&gt;="&amp;LOOKUP(2,1/($T$20:$T174="H")),$V$20:$V174,"&lt;=$"&amp;V174)</f>
        <v>0</v>
      </c>
    </row>
    <row r="175" spans="24:24" x14ac:dyDescent="0.2">
      <c r="X175" s="32">
        <f>_xlfn.MAXIFS($U$20:$U175,$T$20:$T175,"H",$U$20:$U175,"&gt;="&amp;LOOKUP(2,1/($T$20:$T175="H")),$V$20:$V175,"&lt;=$"&amp;V175)</f>
        <v>0</v>
      </c>
    </row>
    <row r="176" spans="24:24" x14ac:dyDescent="0.2">
      <c r="X176" s="32">
        <f>_xlfn.MAXIFS($U$20:$U176,$T$20:$T176,"H",$U$20:$U176,"&gt;="&amp;LOOKUP(2,1/($T$20:$T176="H")),$V$20:$V176,"&lt;=$"&amp;V176)</f>
        <v>0</v>
      </c>
    </row>
    <row r="177" spans="24:24" x14ac:dyDescent="0.2">
      <c r="X177" s="32">
        <f>_xlfn.MAXIFS($U$20:$U177,$T$20:$T177,"H",$U$20:$U177,"&gt;="&amp;LOOKUP(2,1/($T$20:$T177="H")),$V$20:$V177,"&lt;=$"&amp;V177)</f>
        <v>0</v>
      </c>
    </row>
    <row r="178" spans="24:24" x14ac:dyDescent="0.2">
      <c r="X178" s="32">
        <f>_xlfn.MAXIFS($U$20:$U178,$T$20:$T178,"H",$U$20:$U178,"&gt;="&amp;LOOKUP(2,1/($T$20:$T178="H")),$V$20:$V178,"&lt;=$"&amp;V178)</f>
        <v>0</v>
      </c>
    </row>
    <row r="179" spans="24:24" x14ac:dyDescent="0.2">
      <c r="X179" s="32">
        <f>_xlfn.MAXIFS($U$20:$U179,$T$20:$T179,"H",$U$20:$U179,"&gt;="&amp;LOOKUP(2,1/($T$20:$T179="H")),$V$20:$V179,"&lt;=$"&amp;V179)</f>
        <v>0</v>
      </c>
    </row>
    <row r="180" spans="24:24" x14ac:dyDescent="0.2">
      <c r="X180" s="32">
        <f>_xlfn.MAXIFS($U$20:$U180,$T$20:$T180,"H",$U$20:$U180,"&gt;="&amp;LOOKUP(2,1/($T$20:$T180="H")),$V$20:$V180,"&lt;=$"&amp;V180)</f>
        <v>0</v>
      </c>
    </row>
    <row r="181" spans="24:24" x14ac:dyDescent="0.2">
      <c r="X181" s="32">
        <f>_xlfn.MAXIFS($U$20:$U181,$T$20:$T181,"H",$U$20:$U181,"&gt;="&amp;LOOKUP(2,1/($T$20:$T181="H")),$V$20:$V181,"&lt;=$"&amp;V181)</f>
        <v>0</v>
      </c>
    </row>
    <row r="182" spans="24:24" x14ac:dyDescent="0.2">
      <c r="X182" s="32">
        <f>_xlfn.MAXIFS($U$20:$U182,$T$20:$T182,"H",$U$20:$U182,"&gt;="&amp;LOOKUP(2,1/($T$20:$T182="H")),$V$20:$V182,"&lt;=$"&amp;V182)</f>
        <v>0</v>
      </c>
    </row>
    <row r="183" spans="24:24" x14ac:dyDescent="0.2">
      <c r="X183" s="32">
        <f>_xlfn.MAXIFS($U$20:$U183,$T$20:$T183,"H",$U$20:$U183,"&gt;="&amp;LOOKUP(2,1/($T$20:$T183="H")),$V$20:$V183,"&lt;=$"&amp;V183)</f>
        <v>0</v>
      </c>
    </row>
    <row r="184" spans="24:24" x14ac:dyDescent="0.2">
      <c r="X184" s="32">
        <f>_xlfn.MAXIFS($U$20:$U184,$T$20:$T184,"H",$U$20:$U184,"&gt;="&amp;LOOKUP(2,1/($T$20:$T184="H")),$V$20:$V184,"&lt;=$"&amp;V184)</f>
        <v>0</v>
      </c>
    </row>
    <row r="185" spans="24:24" x14ac:dyDescent="0.2">
      <c r="X185" s="32">
        <f>_xlfn.MAXIFS($U$20:$U185,$T$20:$T185,"H",$U$20:$U185,"&gt;="&amp;LOOKUP(2,1/($T$20:$T185="H")),$V$20:$V185,"&lt;=$"&amp;V185)</f>
        <v>0</v>
      </c>
    </row>
    <row r="186" spans="24:24" x14ac:dyDescent="0.2">
      <c r="X186" s="32">
        <f>_xlfn.MAXIFS($U$20:$U186,$T$20:$T186,"H",$U$20:$U186,"&gt;="&amp;LOOKUP(2,1/($T$20:$T186="H")),$V$20:$V186,"&lt;=$"&amp;V186)</f>
        <v>0</v>
      </c>
    </row>
    <row r="187" spans="24:24" x14ac:dyDescent="0.2">
      <c r="X187" s="32">
        <f>_xlfn.MAXIFS($U$20:$U187,$T$20:$T187,"H",$U$20:$U187,"&gt;="&amp;LOOKUP(2,1/($T$20:$T187="H")),$V$20:$V187,"&lt;=$"&amp;V187)</f>
        <v>0</v>
      </c>
    </row>
    <row r="188" spans="24:24" x14ac:dyDescent="0.2">
      <c r="X188" s="32">
        <f>_xlfn.MAXIFS($U$20:$U188,$T$20:$T188,"H",$U$20:$U188,"&gt;="&amp;LOOKUP(2,1/($T$20:$T188="H")),$V$20:$V188,"&lt;=$"&amp;V188)</f>
        <v>0</v>
      </c>
    </row>
    <row r="189" spans="24:24" x14ac:dyDescent="0.2">
      <c r="X189" s="32">
        <f>_xlfn.MAXIFS($U$20:$U189,$T$20:$T189,"H",$U$20:$U189,"&gt;="&amp;LOOKUP(2,1/($T$20:$T189="H")),$V$20:$V189,"&lt;=$"&amp;V189)</f>
        <v>0</v>
      </c>
    </row>
    <row r="190" spans="24:24" x14ac:dyDescent="0.2">
      <c r="X190" s="32">
        <f>_xlfn.MAXIFS($U$20:$U190,$T$20:$T190,"H",$U$20:$U190,"&gt;="&amp;LOOKUP(2,1/($T$20:$T190="H")),$V$20:$V190,"&lt;=$"&amp;V190)</f>
        <v>0</v>
      </c>
    </row>
    <row r="191" spans="24:24" x14ac:dyDescent="0.2">
      <c r="X191" s="32">
        <f>_xlfn.MAXIFS($U$20:$U191,$T$20:$T191,"H",$U$20:$U191,"&gt;="&amp;LOOKUP(2,1/($T$20:$T191="H")),$V$20:$V191,"&lt;=$"&amp;V191)</f>
        <v>0</v>
      </c>
    </row>
    <row r="192" spans="24:24" x14ac:dyDescent="0.2">
      <c r="X192" s="32">
        <f>_xlfn.MAXIFS($U$20:$U192,$T$20:$T192,"H",$U$20:$U192,"&gt;="&amp;LOOKUP(2,1/($T$20:$T192="H")),$V$20:$V192,"&lt;=$"&amp;V192)</f>
        <v>0</v>
      </c>
    </row>
    <row r="193" spans="24:24" x14ac:dyDescent="0.2">
      <c r="X193" s="32">
        <f>_xlfn.MAXIFS($U$20:$U193,$T$20:$T193,"H",$U$20:$U193,"&gt;="&amp;LOOKUP(2,1/($T$20:$T193="H")),$V$20:$V193,"&lt;=$"&amp;V193)</f>
        <v>0</v>
      </c>
    </row>
    <row r="194" spans="24:24" x14ac:dyDescent="0.2">
      <c r="X194" s="32">
        <f>_xlfn.MAXIFS($U$20:$U194,$T$20:$T194,"H",$U$20:$U194,"&gt;="&amp;LOOKUP(2,1/($T$20:$T194="H")),$V$20:$V194,"&lt;=$"&amp;V194)</f>
        <v>0</v>
      </c>
    </row>
    <row r="195" spans="24:24" x14ac:dyDescent="0.2">
      <c r="X195" s="32">
        <f>_xlfn.MAXIFS($U$20:$U195,$T$20:$T195,"H",$U$20:$U195,"&gt;="&amp;LOOKUP(2,1/($T$20:$T195="H")),$V$20:$V195,"&lt;=$"&amp;V195)</f>
        <v>0</v>
      </c>
    </row>
    <row r="196" spans="24:24" x14ac:dyDescent="0.2">
      <c r="X196" s="32">
        <f>_xlfn.MAXIFS($U$20:$U196,$T$20:$T196,"H",$U$20:$U196,"&gt;="&amp;LOOKUP(2,1/($T$20:$T196="H")),$V$20:$V196,"&lt;=$"&amp;V196)</f>
        <v>0</v>
      </c>
    </row>
    <row r="197" spans="24:24" x14ac:dyDescent="0.2">
      <c r="X197" s="32">
        <f>_xlfn.MAXIFS($U$20:$U197,$T$20:$T197,"H",$U$20:$U197,"&gt;="&amp;LOOKUP(2,1/($T$20:$T197="H")),$V$20:$V197,"&lt;=$"&amp;V197)</f>
        <v>0</v>
      </c>
    </row>
    <row r="198" spans="24:24" x14ac:dyDescent="0.2">
      <c r="X198" s="32">
        <f>_xlfn.MAXIFS($U$20:$U198,$T$20:$T198,"H",$U$20:$U198,"&gt;="&amp;LOOKUP(2,1/($T$20:$T198="H")),$V$20:$V198,"&lt;=$"&amp;V198)</f>
        <v>0</v>
      </c>
    </row>
    <row r="199" spans="24:24" x14ac:dyDescent="0.2">
      <c r="X199" s="32">
        <f>_xlfn.MAXIFS($U$20:$U199,$T$20:$T199,"H",$U$20:$U199,"&gt;="&amp;LOOKUP(2,1/($T$20:$T199="H")),$V$20:$V199,"&lt;=$"&amp;V199)</f>
        <v>0</v>
      </c>
    </row>
    <row r="200" spans="24:24" x14ac:dyDescent="0.2">
      <c r="X200" s="32">
        <f>_xlfn.MAXIFS($U$20:$U200,$T$20:$T200,"H",$U$20:$U200,"&gt;="&amp;LOOKUP(2,1/($T$20:$T200="H")),$V$20:$V200,"&lt;=$"&amp;V200)</f>
        <v>0</v>
      </c>
    </row>
    <row r="201" spans="24:24" x14ac:dyDescent="0.2">
      <c r="X201" s="32">
        <f>_xlfn.MAXIFS($U$20:$U201,$T$20:$T201,"H",$U$20:$U201,"&gt;="&amp;LOOKUP(2,1/($T$20:$T201="H")),$V$20:$V201,"&lt;=$"&amp;V201)</f>
        <v>0</v>
      </c>
    </row>
    <row r="202" spans="24:24" x14ac:dyDescent="0.2">
      <c r="X202" s="32">
        <f>_xlfn.MAXIFS($U$20:$U202,$T$20:$T202,"H",$U$20:$U202,"&gt;="&amp;LOOKUP(2,1/($T$20:$T202="H")),$V$20:$V202,"&lt;=$"&amp;V202)</f>
        <v>0</v>
      </c>
    </row>
    <row r="203" spans="24:24" x14ac:dyDescent="0.2">
      <c r="X203" s="32">
        <f>_xlfn.MAXIFS($U$20:$U203,$T$20:$T203,"H",$U$20:$U203,"&gt;="&amp;LOOKUP(2,1/($T$20:$T203="H")),$V$20:$V203,"&lt;=$"&amp;V203)</f>
        <v>0</v>
      </c>
    </row>
    <row r="204" spans="24:24" x14ac:dyDescent="0.2">
      <c r="X204" s="32">
        <f>_xlfn.MAXIFS($U$20:$U204,$T$20:$T204,"H",$U$20:$U204,"&gt;="&amp;LOOKUP(2,1/($T$20:$T204="H")),$V$20:$V204,"&lt;=$"&amp;V204)</f>
        <v>0</v>
      </c>
    </row>
    <row r="205" spans="24:24" x14ac:dyDescent="0.2">
      <c r="X205" s="32">
        <f>_xlfn.MAXIFS($U$20:$U205,$T$20:$T205,"H",$U$20:$U205,"&gt;="&amp;LOOKUP(2,1/($T$20:$T205="H")),$V$20:$V205,"&lt;=$"&amp;V205)</f>
        <v>0</v>
      </c>
    </row>
    <row r="206" spans="24:24" x14ac:dyDescent="0.2">
      <c r="X206" s="32">
        <f>_xlfn.MAXIFS($U$20:$U206,$T$20:$T206,"H",$U$20:$U206,"&gt;="&amp;LOOKUP(2,1/($T$20:$T206="H")),$V$20:$V206,"&lt;=$"&amp;V206)</f>
        <v>0</v>
      </c>
    </row>
    <row r="207" spans="24:24" x14ac:dyDescent="0.2">
      <c r="X207" s="32">
        <f>_xlfn.MAXIFS($U$20:$U207,$T$20:$T207,"H",$U$20:$U207,"&gt;="&amp;LOOKUP(2,1/($T$20:$T207="H")),$V$20:$V207,"&lt;=$"&amp;V207)</f>
        <v>0</v>
      </c>
    </row>
    <row r="208" spans="24:24" x14ac:dyDescent="0.2">
      <c r="X208" s="32">
        <f>_xlfn.MAXIFS($U$20:$U208,$T$20:$T208,"H",$U$20:$U208,"&gt;="&amp;LOOKUP(2,1/($T$20:$T208="H")),$V$20:$V208,"&lt;=$"&amp;V208)</f>
        <v>0</v>
      </c>
    </row>
    <row r="209" spans="24:24" x14ac:dyDescent="0.2">
      <c r="X209" s="32">
        <f>_xlfn.MAXIFS($U$20:$U209,$T$20:$T209,"H",$U$20:$U209,"&gt;="&amp;LOOKUP(2,1/($T$20:$T209="H")),$V$20:$V209,"&lt;=$"&amp;V209)</f>
        <v>0</v>
      </c>
    </row>
    <row r="210" spans="24:24" x14ac:dyDescent="0.2">
      <c r="X210" s="32">
        <f>_xlfn.MAXIFS($U$20:$U210,$T$20:$T210,"H",$U$20:$U210,"&gt;="&amp;LOOKUP(2,1/($T$20:$T210="H")),$V$20:$V210,"&lt;=$"&amp;V210)</f>
        <v>0</v>
      </c>
    </row>
    <row r="211" spans="24:24" x14ac:dyDescent="0.2">
      <c r="X211" s="32">
        <f>_xlfn.MAXIFS($U$20:$U211,$T$20:$T211,"H",$U$20:$U211,"&gt;="&amp;LOOKUP(2,1/($T$20:$T211="H")),$V$20:$V211,"&lt;=$"&amp;V211)</f>
        <v>0</v>
      </c>
    </row>
    <row r="212" spans="24:24" x14ac:dyDescent="0.2">
      <c r="X212" s="32">
        <f>_xlfn.MAXIFS($U$20:$U212,$T$20:$T212,"H",$U$20:$U212,"&gt;="&amp;LOOKUP(2,1/($T$20:$T212="H")),$V$20:$V212,"&lt;=$"&amp;V212)</f>
        <v>0</v>
      </c>
    </row>
    <row r="213" spans="24:24" x14ac:dyDescent="0.2">
      <c r="X213" s="32">
        <f>_xlfn.MAXIFS($U$20:$U213,$T$20:$T213,"H",$U$20:$U213,"&gt;="&amp;LOOKUP(2,1/($T$20:$T213="H")),$V$20:$V213,"&lt;=$"&amp;V213)</f>
        <v>0</v>
      </c>
    </row>
    <row r="214" spans="24:24" x14ac:dyDescent="0.2">
      <c r="X214" s="32">
        <f>_xlfn.MAXIFS($U$20:$U214,$T$20:$T214,"H",$U$20:$U214,"&gt;="&amp;LOOKUP(2,1/($T$20:$T214="H")),$V$20:$V214,"&lt;=$"&amp;V214)</f>
        <v>0</v>
      </c>
    </row>
    <row r="215" spans="24:24" x14ac:dyDescent="0.2">
      <c r="X215" s="32">
        <f>_xlfn.MAXIFS($U$20:$U215,$T$20:$T215,"H",$U$20:$U215,"&gt;="&amp;LOOKUP(2,1/($T$20:$T215="H")),$V$20:$V215,"&lt;=$"&amp;V215)</f>
        <v>0</v>
      </c>
    </row>
    <row r="216" spans="24:24" x14ac:dyDescent="0.2">
      <c r="X216" s="32">
        <f>_xlfn.MAXIFS($U$20:$U216,$T$20:$T216,"H",$U$20:$U216,"&gt;="&amp;LOOKUP(2,1/($T$20:$T216="H")),$V$20:$V216,"&lt;=$"&amp;V216)</f>
        <v>0</v>
      </c>
    </row>
    <row r="217" spans="24:24" x14ac:dyDescent="0.2">
      <c r="X217" s="32">
        <f>_xlfn.MAXIFS($U$20:$U217,$T$20:$T217,"H",$U$20:$U217,"&gt;="&amp;LOOKUP(2,1/($T$20:$T217="H")),$V$20:$V217,"&lt;=$"&amp;V217)</f>
        <v>0</v>
      </c>
    </row>
    <row r="218" spans="24:24" x14ac:dyDescent="0.2">
      <c r="X218" s="32">
        <f>_xlfn.MAXIFS($U$20:$U218,$T$20:$T218,"H",$U$20:$U218,"&gt;="&amp;LOOKUP(2,1/($T$20:$T218="H")),$V$20:$V218,"&lt;=$"&amp;V218)</f>
        <v>0</v>
      </c>
    </row>
    <row r="219" spans="24:24" x14ac:dyDescent="0.2">
      <c r="X219" s="32">
        <f>_xlfn.MAXIFS($U$20:$U219,$T$20:$T219,"H",$U$20:$U219,"&gt;="&amp;LOOKUP(2,1/($T$20:$T219="H")),$V$20:$V219,"&lt;=$"&amp;V219)</f>
        <v>0</v>
      </c>
    </row>
    <row r="220" spans="24:24" x14ac:dyDescent="0.2">
      <c r="X220" s="32">
        <f>_xlfn.MAXIFS($U$20:$U220,$T$20:$T220,"H",$U$20:$U220,"&gt;="&amp;LOOKUP(2,1/($T$20:$T220="H")),$V$20:$V220,"&lt;=$"&amp;V220)</f>
        <v>0</v>
      </c>
    </row>
    <row r="221" spans="24:24" x14ac:dyDescent="0.2">
      <c r="X221" s="32">
        <f>_xlfn.MAXIFS($U$20:$U221,$T$20:$T221,"H",$U$20:$U221,"&gt;="&amp;LOOKUP(2,1/($T$20:$T221="H")),$V$20:$V221,"&lt;=$"&amp;V221)</f>
        <v>0</v>
      </c>
    </row>
    <row r="222" spans="24:24" x14ac:dyDescent="0.2">
      <c r="X222" s="32">
        <f>_xlfn.MAXIFS($U$20:$U222,$T$20:$T222,"H",$U$20:$U222,"&gt;="&amp;LOOKUP(2,1/($T$20:$T222="H")),$V$20:$V222,"&lt;=$"&amp;V222)</f>
        <v>0</v>
      </c>
    </row>
    <row r="223" spans="24:24" x14ac:dyDescent="0.2">
      <c r="X223" s="32">
        <f>_xlfn.MAXIFS($U$20:$U223,$T$20:$T223,"H",$U$20:$U223,"&gt;="&amp;LOOKUP(2,1/($T$20:$T223="H")),$V$20:$V223,"&lt;=$"&amp;V223)</f>
        <v>0</v>
      </c>
    </row>
    <row r="224" spans="24:24" x14ac:dyDescent="0.2">
      <c r="X224" s="32">
        <f>_xlfn.MAXIFS($U$20:$U224,$T$20:$T224,"H",$U$20:$U224,"&gt;="&amp;LOOKUP(2,1/($T$20:$T224="H")),$V$20:$V224,"&lt;=$"&amp;V224)</f>
        <v>0</v>
      </c>
    </row>
    <row r="225" spans="24:24" x14ac:dyDescent="0.2">
      <c r="X225" s="32">
        <f>_xlfn.MAXIFS($U$20:$U225,$T$20:$T225,"H",$U$20:$U225,"&gt;="&amp;LOOKUP(2,1/($T$20:$T225="H")),$V$20:$V225,"&lt;=$"&amp;V225)</f>
        <v>0</v>
      </c>
    </row>
    <row r="226" spans="24:24" x14ac:dyDescent="0.2">
      <c r="X226" s="32">
        <f>_xlfn.MAXIFS($U$20:$U226,$T$20:$T226,"H",$U$20:$U226,"&gt;="&amp;LOOKUP(2,1/($T$20:$T226="H")),$V$20:$V226,"&lt;=$"&amp;V226)</f>
        <v>0</v>
      </c>
    </row>
    <row r="227" spans="24:24" x14ac:dyDescent="0.2">
      <c r="X227" s="32">
        <f>_xlfn.MAXIFS($U$20:$U227,$T$20:$T227,"H",$U$20:$U227,"&gt;="&amp;LOOKUP(2,1/($T$20:$T227="H")),$V$20:$V227,"&lt;=$"&amp;V227)</f>
        <v>0</v>
      </c>
    </row>
    <row r="228" spans="24:24" x14ac:dyDescent="0.2">
      <c r="X228" s="32">
        <f>_xlfn.MAXIFS($U$20:$U228,$T$20:$T228,"H",$U$20:$U228,"&gt;="&amp;LOOKUP(2,1/($T$20:$T228="H")),$V$20:$V228,"&lt;=$"&amp;V228)</f>
        <v>0</v>
      </c>
    </row>
    <row r="229" spans="24:24" x14ac:dyDescent="0.2">
      <c r="X229" s="32">
        <f>_xlfn.MAXIFS($U$20:$U229,$T$20:$T229,"H",$U$20:$U229,"&gt;="&amp;LOOKUP(2,1/($T$20:$T229="H")),$V$20:$V229,"&lt;=$"&amp;V229)</f>
        <v>0</v>
      </c>
    </row>
    <row r="230" spans="24:24" x14ac:dyDescent="0.2">
      <c r="X230" s="32">
        <f>_xlfn.MAXIFS($U$20:$U230,$T$20:$T230,"H",$U$20:$U230,"&gt;="&amp;LOOKUP(2,1/($T$20:$T230="H")),$V$20:$V230,"&lt;=$"&amp;V230)</f>
        <v>0</v>
      </c>
    </row>
    <row r="231" spans="24:24" x14ac:dyDescent="0.2">
      <c r="X231" s="32">
        <f>_xlfn.MAXIFS($U$20:$U231,$T$20:$T231,"H",$U$20:$U231,"&gt;="&amp;LOOKUP(2,1/($T$20:$T231="H")),$V$20:$V231,"&lt;=$"&amp;V231)</f>
        <v>0</v>
      </c>
    </row>
    <row r="232" spans="24:24" x14ac:dyDescent="0.2">
      <c r="X232" s="32">
        <f>_xlfn.MAXIFS($U$20:$U232,$T$20:$T232,"H",$U$20:$U232,"&gt;="&amp;LOOKUP(2,1/($T$20:$T232="H")),$V$20:$V232,"&lt;=$"&amp;V232)</f>
        <v>0</v>
      </c>
    </row>
    <row r="233" spans="24:24" x14ac:dyDescent="0.2">
      <c r="X233" s="32">
        <f>_xlfn.MAXIFS($U$20:$U233,$T$20:$T233,"H",$U$20:$U233,"&gt;="&amp;LOOKUP(2,1/($T$20:$T233="H")),$V$20:$V233,"&lt;=$"&amp;V233)</f>
        <v>0</v>
      </c>
    </row>
    <row r="234" spans="24:24" x14ac:dyDescent="0.2">
      <c r="X234" s="32">
        <f>_xlfn.MAXIFS($U$20:$U234,$T$20:$T234,"H",$U$20:$U234,"&gt;="&amp;LOOKUP(2,1/($T$20:$T234="H")),$V$20:$V234,"&lt;=$"&amp;V234)</f>
        <v>0</v>
      </c>
    </row>
    <row r="235" spans="24:24" x14ac:dyDescent="0.2">
      <c r="X235" s="32">
        <f>_xlfn.MAXIFS($U$20:$U235,$T$20:$T235,"H",$U$20:$U235,"&gt;="&amp;LOOKUP(2,1/($T$20:$T235="H")),$V$20:$V235,"&lt;=$"&amp;V235)</f>
        <v>0</v>
      </c>
    </row>
    <row r="236" spans="24:24" x14ac:dyDescent="0.2">
      <c r="X236" s="32">
        <f>_xlfn.MAXIFS($U$20:$U236,$T$20:$T236,"H",$U$20:$U236,"&gt;="&amp;LOOKUP(2,1/($T$20:$T236="H")),$V$20:$V236,"&lt;=$"&amp;V236)</f>
        <v>0</v>
      </c>
    </row>
    <row r="237" spans="24:24" x14ac:dyDescent="0.2">
      <c r="X237" s="32">
        <f>_xlfn.MAXIFS($U$20:$U237,$T$20:$T237,"H",$U$20:$U237,"&gt;="&amp;LOOKUP(2,1/($T$20:$T237="H")),$V$20:$V237,"&lt;=$"&amp;V237)</f>
        <v>0</v>
      </c>
    </row>
    <row r="238" spans="24:24" x14ac:dyDescent="0.2">
      <c r="X238" s="32">
        <f>_xlfn.MAXIFS($U$20:$U238,$T$20:$T238,"H",$U$20:$U238,"&gt;="&amp;LOOKUP(2,1/($T$20:$T238="H")),$V$20:$V238,"&lt;=$"&amp;V238)</f>
        <v>0</v>
      </c>
    </row>
    <row r="239" spans="24:24" x14ac:dyDescent="0.2">
      <c r="X239" s="32">
        <f>_xlfn.MAXIFS($U$20:$U239,$T$20:$T239,"H",$U$20:$U239,"&gt;="&amp;LOOKUP(2,1/($T$20:$T239="H")),$V$20:$V239,"&lt;=$"&amp;V239)</f>
        <v>0</v>
      </c>
    </row>
    <row r="240" spans="24:24" x14ac:dyDescent="0.2">
      <c r="X240" s="32">
        <f>_xlfn.MAXIFS($U$20:$U240,$T$20:$T240,"H",$U$20:$U240,"&gt;="&amp;LOOKUP(2,1/($T$20:$T240="H")),$V$20:$V240,"&lt;=$"&amp;V240)</f>
        <v>0</v>
      </c>
    </row>
    <row r="241" spans="24:24" x14ac:dyDescent="0.2">
      <c r="X241" s="32">
        <f>_xlfn.MAXIFS($U$20:$U241,$T$20:$T241,"H",$U$20:$U241,"&gt;="&amp;LOOKUP(2,1/($T$20:$T241="H")),$V$20:$V241,"&lt;=$"&amp;V241)</f>
        <v>0</v>
      </c>
    </row>
    <row r="242" spans="24:24" x14ac:dyDescent="0.2">
      <c r="X242" s="32">
        <f>_xlfn.MAXIFS($U$20:$U242,$T$20:$T242,"H",$U$20:$U242,"&gt;="&amp;LOOKUP(2,1/($T$20:$T242="H")),$V$20:$V242,"&lt;=$"&amp;V242)</f>
        <v>0</v>
      </c>
    </row>
    <row r="243" spans="24:24" x14ac:dyDescent="0.2">
      <c r="X243" s="32">
        <f>_xlfn.MAXIFS($U$20:$U243,$T$20:$T243,"H",$U$20:$U243,"&gt;="&amp;LOOKUP(2,1/($T$20:$T243="H")),$V$20:$V243,"&lt;=$"&amp;V243)</f>
        <v>0</v>
      </c>
    </row>
    <row r="244" spans="24:24" x14ac:dyDescent="0.2">
      <c r="X244" s="32">
        <f>_xlfn.MAXIFS($U$20:$U244,$T$20:$T244,"H",$U$20:$U244,"&gt;="&amp;LOOKUP(2,1/($T$20:$T244="H")),$V$20:$V244,"&lt;=$"&amp;V244)</f>
        <v>0</v>
      </c>
    </row>
    <row r="245" spans="24:24" x14ac:dyDescent="0.2">
      <c r="X245" s="32">
        <f>_xlfn.MAXIFS($U$20:$U245,$T$20:$T245,"H",$U$20:$U245,"&gt;="&amp;LOOKUP(2,1/($T$20:$T245="H")),$V$20:$V245,"&lt;=$"&amp;V245)</f>
        <v>0</v>
      </c>
    </row>
    <row r="246" spans="24:24" x14ac:dyDescent="0.2">
      <c r="X246" s="32">
        <f>_xlfn.MAXIFS($U$20:$U246,$T$20:$T246,"H",$U$20:$U246,"&gt;="&amp;LOOKUP(2,1/($T$20:$T246="H")),$V$20:$V246,"&lt;=$"&amp;V246)</f>
        <v>0</v>
      </c>
    </row>
    <row r="247" spans="24:24" x14ac:dyDescent="0.2">
      <c r="X247" s="32">
        <f>_xlfn.MAXIFS($U$20:$U247,$T$20:$T247,"H",$U$20:$U247,"&gt;="&amp;LOOKUP(2,1/($T$20:$T247="H")),$V$20:$V247,"&lt;=$"&amp;V247)</f>
        <v>0</v>
      </c>
    </row>
    <row r="248" spans="24:24" x14ac:dyDescent="0.2">
      <c r="X248" s="32">
        <f>_xlfn.MAXIFS($U$20:$U248,$T$20:$T248,"H",$U$20:$U248,"&gt;="&amp;LOOKUP(2,1/($T$20:$T248="H")),$V$20:$V248,"&lt;=$"&amp;V248)</f>
        <v>0</v>
      </c>
    </row>
    <row r="249" spans="24:24" x14ac:dyDescent="0.2">
      <c r="X249" s="32">
        <f>_xlfn.MAXIFS($U$20:$U249,$T$20:$T249,"H",$U$20:$U249,"&gt;="&amp;LOOKUP(2,1/($T$20:$T249="H")),$V$20:$V249,"&lt;=$"&amp;V249)</f>
        <v>0</v>
      </c>
    </row>
    <row r="250" spans="24:24" x14ac:dyDescent="0.2">
      <c r="X250" s="32">
        <f>_xlfn.MAXIFS($U$20:$U250,$T$20:$T250,"H",$U$20:$U250,"&gt;="&amp;LOOKUP(2,1/($T$20:$T250="H")),$V$20:$V250,"&lt;=$"&amp;V250)</f>
        <v>0</v>
      </c>
    </row>
    <row r="251" spans="24:24" x14ac:dyDescent="0.2">
      <c r="X251" s="32">
        <f>_xlfn.MAXIFS($U$20:$U251,$T$20:$T251,"H",$U$20:$U251,"&gt;="&amp;LOOKUP(2,1/($T$20:$T251="H")),$V$20:$V251,"&lt;=$"&amp;V251)</f>
        <v>0</v>
      </c>
    </row>
    <row r="252" spans="24:24" x14ac:dyDescent="0.2">
      <c r="X252" s="32">
        <f>_xlfn.MAXIFS($U$20:$U252,$T$20:$T252,"H",$U$20:$U252,"&gt;="&amp;LOOKUP(2,1/($T$20:$T252="H")),$V$20:$V252,"&lt;=$"&amp;V252)</f>
        <v>0</v>
      </c>
    </row>
    <row r="253" spans="24:24" x14ac:dyDescent="0.2">
      <c r="X253" s="32">
        <f>_xlfn.MAXIFS($U$20:$U253,$T$20:$T253,"H",$U$20:$U253,"&gt;="&amp;LOOKUP(2,1/($T$20:$T253="H")),$V$20:$V253,"&lt;=$"&amp;V253)</f>
        <v>0</v>
      </c>
    </row>
    <row r="254" spans="24:24" x14ac:dyDescent="0.2">
      <c r="X254" s="32">
        <f>_xlfn.MAXIFS($U$20:$U254,$T$20:$T254,"H",$U$20:$U254,"&gt;="&amp;LOOKUP(2,1/($T$20:$T254="H")),$V$20:$V254,"&lt;=$"&amp;V254)</f>
        <v>0</v>
      </c>
    </row>
    <row r="255" spans="24:24" x14ac:dyDescent="0.2">
      <c r="X255" s="32">
        <f>_xlfn.MAXIFS($U$20:$U255,$T$20:$T255,"H",$U$20:$U255,"&gt;="&amp;LOOKUP(2,1/($T$20:$T255="H")),$V$20:$V255,"&lt;=$"&amp;V255)</f>
        <v>0</v>
      </c>
    </row>
    <row r="256" spans="24:24" x14ac:dyDescent="0.2">
      <c r="X256" s="32">
        <f>_xlfn.MAXIFS($U$20:$U256,$T$20:$T256,"H",$U$20:$U256,"&gt;="&amp;LOOKUP(2,1/($T$20:$T256="H")),$V$20:$V256,"&lt;=$"&amp;V256)</f>
        <v>0</v>
      </c>
    </row>
    <row r="257" spans="24:24" x14ac:dyDescent="0.2">
      <c r="X257" s="32">
        <f>_xlfn.MAXIFS($U$20:$U257,$T$20:$T257,"H",$U$20:$U257,"&gt;="&amp;LOOKUP(2,1/($T$20:$T257="H")),$V$20:$V257,"&lt;=$"&amp;V257)</f>
        <v>0</v>
      </c>
    </row>
    <row r="258" spans="24:24" x14ac:dyDescent="0.2">
      <c r="X258" s="32">
        <f>_xlfn.MAXIFS($U$20:$U258,$T$20:$T258,"H",$U$20:$U258,"&gt;="&amp;LOOKUP(2,1/($T$20:$T258="H")),$V$20:$V258,"&lt;=$"&amp;V258)</f>
        <v>0</v>
      </c>
    </row>
    <row r="259" spans="24:24" x14ac:dyDescent="0.2">
      <c r="X259" s="32">
        <f>_xlfn.MAXIFS($U$20:$U259,$T$20:$T259,"H",$U$20:$U259,"&gt;="&amp;LOOKUP(2,1/($T$20:$T259="H")),$V$20:$V259,"&lt;=$"&amp;V259)</f>
        <v>0</v>
      </c>
    </row>
    <row r="260" spans="24:24" x14ac:dyDescent="0.2">
      <c r="X260" s="32">
        <f>_xlfn.MAXIFS($U$20:$U260,$T$20:$T260,"H",$U$20:$U260,"&gt;="&amp;LOOKUP(2,1/($T$20:$T260="H")),$V$20:$V260,"&lt;=$"&amp;V260)</f>
        <v>0</v>
      </c>
    </row>
    <row r="261" spans="24:24" x14ac:dyDescent="0.2">
      <c r="X261" s="32">
        <f>_xlfn.MAXIFS($U$20:$U261,$T$20:$T261,"H",$U$20:$U261,"&gt;="&amp;LOOKUP(2,1/($T$20:$T261="H")),$V$20:$V261,"&lt;=$"&amp;V261)</f>
        <v>0</v>
      </c>
    </row>
    <row r="262" spans="24:24" x14ac:dyDescent="0.2">
      <c r="X262" s="32">
        <f>_xlfn.MAXIFS($U$20:$U262,$T$20:$T262,"H",$U$20:$U262,"&gt;="&amp;LOOKUP(2,1/($T$20:$T262="H")),$V$20:$V262,"&lt;=$"&amp;V262)</f>
        <v>0</v>
      </c>
    </row>
    <row r="263" spans="24:24" x14ac:dyDescent="0.2">
      <c r="X263" s="32">
        <f>_xlfn.MAXIFS($U$20:$U263,$T$20:$T263,"H",$U$20:$U263,"&gt;="&amp;LOOKUP(2,1/($T$20:$T263="H")),$V$20:$V263,"&lt;=$"&amp;V263)</f>
        <v>0</v>
      </c>
    </row>
    <row r="264" spans="24:24" x14ac:dyDescent="0.2">
      <c r="X264" s="32">
        <f>_xlfn.MAXIFS($U$20:$U264,$T$20:$T264,"H",$U$20:$U264,"&gt;="&amp;LOOKUP(2,1/($T$20:$T264="H")),$V$20:$V264,"&lt;=$"&amp;V264)</f>
        <v>0</v>
      </c>
    </row>
    <row r="265" spans="24:24" x14ac:dyDescent="0.2">
      <c r="X265" s="32">
        <f>_xlfn.MAXIFS($U$20:$U265,$T$20:$T265,"H",$U$20:$U265,"&gt;="&amp;LOOKUP(2,1/($T$20:$T265="H")),$V$20:$V265,"&lt;=$"&amp;V265)</f>
        <v>0</v>
      </c>
    </row>
    <row r="266" spans="24:24" x14ac:dyDescent="0.2">
      <c r="X266" s="32">
        <f>_xlfn.MAXIFS($U$20:$U266,$T$20:$T266,"H",$U$20:$U266,"&gt;="&amp;LOOKUP(2,1/($T$20:$T266="H")),$V$20:$V266,"&lt;=$"&amp;V266)</f>
        <v>0</v>
      </c>
    </row>
    <row r="267" spans="24:24" x14ac:dyDescent="0.2">
      <c r="X267" s="32">
        <f>_xlfn.MAXIFS($U$20:$U267,$T$20:$T267,"H",$U$20:$U267,"&gt;="&amp;LOOKUP(2,1/($T$20:$T267="H")),$V$20:$V267,"&lt;=$"&amp;V267)</f>
        <v>0</v>
      </c>
    </row>
    <row r="268" spans="24:24" x14ac:dyDescent="0.2">
      <c r="X268" s="32">
        <f>_xlfn.MAXIFS($U$20:$U268,$T$20:$T268,"H",$U$20:$U268,"&gt;="&amp;LOOKUP(2,1/($T$20:$T268="H")),$V$20:$V268,"&lt;=$"&amp;V268)</f>
        <v>0</v>
      </c>
    </row>
    <row r="269" spans="24:24" x14ac:dyDescent="0.2">
      <c r="X269" s="32">
        <f>_xlfn.MAXIFS($U$20:$U269,$T$20:$T269,"H",$U$20:$U269,"&gt;="&amp;LOOKUP(2,1/($T$20:$T269="H")),$V$20:$V269,"&lt;=$"&amp;V269)</f>
        <v>0</v>
      </c>
    </row>
    <row r="270" spans="24:24" x14ac:dyDescent="0.2">
      <c r="X270" s="32">
        <f>_xlfn.MAXIFS($U$20:$U270,$T$20:$T270,"H",$U$20:$U270,"&gt;="&amp;LOOKUP(2,1/($T$20:$T270="H")),$V$20:$V270,"&lt;=$"&amp;V270)</f>
        <v>0</v>
      </c>
    </row>
    <row r="271" spans="24:24" x14ac:dyDescent="0.2">
      <c r="X271" s="32">
        <f>_xlfn.MAXIFS($U$20:$U271,$T$20:$T271,"H",$U$20:$U271,"&gt;="&amp;LOOKUP(2,1/($T$20:$T271="H")),$V$20:$V271,"&lt;=$"&amp;V271)</f>
        <v>0</v>
      </c>
    </row>
    <row r="272" spans="24:24" x14ac:dyDescent="0.2">
      <c r="X272" s="32">
        <f>_xlfn.MAXIFS($U$20:$U272,$T$20:$T272,"H",$U$20:$U272,"&gt;="&amp;LOOKUP(2,1/($T$20:$T272="H")),$V$20:$V272,"&lt;=$"&amp;V272)</f>
        <v>0</v>
      </c>
    </row>
    <row r="273" spans="24:24" x14ac:dyDescent="0.2">
      <c r="X273" s="32">
        <f>_xlfn.MAXIFS($U$20:$U273,$T$20:$T273,"H",$U$20:$U273,"&gt;="&amp;LOOKUP(2,1/($T$20:$T273="H")),$V$20:$V273,"&lt;=$"&amp;V273)</f>
        <v>0</v>
      </c>
    </row>
    <row r="274" spans="24:24" x14ac:dyDescent="0.2">
      <c r="X274" s="32">
        <f>_xlfn.MAXIFS($U$20:$U274,$T$20:$T274,"H",$U$20:$U274,"&gt;="&amp;LOOKUP(2,1/($T$20:$T274="H")),$V$20:$V274,"&lt;=$"&amp;V274)</f>
        <v>0</v>
      </c>
    </row>
    <row r="275" spans="24:24" x14ac:dyDescent="0.2">
      <c r="X275" s="32">
        <f>_xlfn.MAXIFS($U$20:$U275,$T$20:$T275,"H",$U$20:$U275,"&gt;="&amp;LOOKUP(2,1/($T$20:$T275="H")),$V$20:$V275,"&lt;=$"&amp;V275)</f>
        <v>0</v>
      </c>
    </row>
    <row r="276" spans="24:24" x14ac:dyDescent="0.2">
      <c r="X276" s="32">
        <f>_xlfn.MAXIFS($U$20:$U276,$T$20:$T276,"H",$U$20:$U276,"&gt;="&amp;LOOKUP(2,1/($T$20:$T276="H")),$V$20:$V276,"&lt;=$"&amp;V276)</f>
        <v>0</v>
      </c>
    </row>
    <row r="277" spans="24:24" x14ac:dyDescent="0.2">
      <c r="X277" s="32">
        <f>_xlfn.MAXIFS($U$20:$U277,$T$20:$T277,"H",$U$20:$U277,"&gt;="&amp;LOOKUP(2,1/($T$20:$T277="H")),$V$20:$V277,"&lt;=$"&amp;V277)</f>
        <v>0</v>
      </c>
    </row>
    <row r="278" spans="24:24" x14ac:dyDescent="0.2">
      <c r="X278" s="32">
        <f>_xlfn.MAXIFS($U$20:$U278,$T$20:$T278,"H",$U$20:$U278,"&gt;="&amp;LOOKUP(2,1/($T$20:$T278="H")),$V$20:$V278,"&lt;=$"&amp;V278)</f>
        <v>0</v>
      </c>
    </row>
    <row r="279" spans="24:24" x14ac:dyDescent="0.2">
      <c r="X279" s="32">
        <f>_xlfn.MAXIFS($U$20:$U279,$T$20:$T279,"H",$U$20:$U279,"&gt;="&amp;LOOKUP(2,1/($T$20:$T279="H")),$V$20:$V279,"&lt;=$"&amp;V279)</f>
        <v>0</v>
      </c>
    </row>
    <row r="280" spans="24:24" x14ac:dyDescent="0.2">
      <c r="X280" s="32">
        <f>_xlfn.MAXIFS($U$20:$U280,$T$20:$T280,"H",$U$20:$U280,"&gt;="&amp;LOOKUP(2,1/($T$20:$T280="H")),$V$20:$V280,"&lt;=$"&amp;V280)</f>
        <v>0</v>
      </c>
    </row>
    <row r="281" spans="24:24" x14ac:dyDescent="0.2">
      <c r="X281" s="32">
        <f>_xlfn.MAXIFS($U$20:$U281,$T$20:$T281,"H",$U$20:$U281,"&gt;="&amp;LOOKUP(2,1/($T$20:$T281="H")),$V$20:$V281,"&lt;=$"&amp;V281)</f>
        <v>0</v>
      </c>
    </row>
    <row r="282" spans="24:24" x14ac:dyDescent="0.2">
      <c r="X282" s="32">
        <f>_xlfn.MAXIFS($U$20:$U282,$T$20:$T282,"H",$U$20:$U282,"&gt;="&amp;LOOKUP(2,1/($T$20:$T282="H")),$V$20:$V282,"&lt;=$"&amp;V282)</f>
        <v>0</v>
      </c>
    </row>
    <row r="283" spans="24:24" x14ac:dyDescent="0.2">
      <c r="X283" s="32">
        <f>_xlfn.MAXIFS($U$20:$U283,$T$20:$T283,"H",$U$20:$U283,"&gt;="&amp;LOOKUP(2,1/($T$20:$T283="H")),$V$20:$V283,"&lt;=$"&amp;V283)</f>
        <v>0</v>
      </c>
    </row>
    <row r="284" spans="24:24" x14ac:dyDescent="0.2">
      <c r="X284" s="32">
        <f>_xlfn.MAXIFS($U$20:$U284,$T$20:$T284,"H",$U$20:$U284,"&gt;="&amp;LOOKUP(2,1/($T$20:$T284="H")),$V$20:$V284,"&lt;=$"&amp;V284)</f>
        <v>0</v>
      </c>
    </row>
    <row r="285" spans="24:24" x14ac:dyDescent="0.2">
      <c r="X285" s="32">
        <f>_xlfn.MAXIFS($U$20:$U285,$T$20:$T285,"H",$U$20:$U285,"&gt;="&amp;LOOKUP(2,1/($T$20:$T285="H")),$V$20:$V285,"&lt;=$"&amp;V285)</f>
        <v>0</v>
      </c>
    </row>
    <row r="286" spans="24:24" x14ac:dyDescent="0.2">
      <c r="X286" s="32">
        <f>_xlfn.MAXIFS($U$20:$U286,$T$20:$T286,"H",$U$20:$U286,"&gt;="&amp;LOOKUP(2,1/($T$20:$T286="H")),$V$20:$V286,"&lt;=$"&amp;V286)</f>
        <v>0</v>
      </c>
    </row>
    <row r="287" spans="24:24" x14ac:dyDescent="0.2">
      <c r="X287" s="32">
        <f>_xlfn.MAXIFS($U$20:$U287,$T$20:$T287,"H",$U$20:$U287,"&gt;="&amp;LOOKUP(2,1/($T$20:$T287="H")),$V$20:$V287,"&lt;=$"&amp;V287)</f>
        <v>0</v>
      </c>
    </row>
    <row r="288" spans="24:24" x14ac:dyDescent="0.2">
      <c r="X288" s="32">
        <f>_xlfn.MAXIFS($U$20:$U288,$T$20:$T288,"H",$U$20:$U288,"&gt;="&amp;LOOKUP(2,1/($T$20:$T288="H")),$V$20:$V288,"&lt;=$"&amp;V288)</f>
        <v>0</v>
      </c>
    </row>
    <row r="289" spans="24:24" x14ac:dyDescent="0.2">
      <c r="X289" s="32">
        <f>_xlfn.MAXIFS($U$20:$U289,$T$20:$T289,"H",$U$20:$U289,"&gt;="&amp;LOOKUP(2,1/($T$20:$T289="H")),$V$20:$V289,"&lt;=$"&amp;V289)</f>
        <v>0</v>
      </c>
    </row>
    <row r="290" spans="24:24" x14ac:dyDescent="0.2">
      <c r="X290" s="32">
        <f>_xlfn.MAXIFS($U$20:$U290,$T$20:$T290,"H",$U$20:$U290,"&gt;="&amp;LOOKUP(2,1/($T$20:$T290="H")),$V$20:$V290,"&lt;=$"&amp;V290)</f>
        <v>0</v>
      </c>
    </row>
    <row r="291" spans="24:24" x14ac:dyDescent="0.2">
      <c r="X291" s="32">
        <f>_xlfn.MAXIFS($U$20:$U291,$T$20:$T291,"H",$U$20:$U291,"&gt;="&amp;LOOKUP(2,1/($T$20:$T291="H")),$V$20:$V291,"&lt;=$"&amp;V291)</f>
        <v>0</v>
      </c>
    </row>
    <row r="292" spans="24:24" x14ac:dyDescent="0.2">
      <c r="X292" s="32">
        <f>_xlfn.MAXIFS($U$20:$U292,$T$20:$T292,"H",$U$20:$U292,"&gt;="&amp;LOOKUP(2,1/($T$20:$T292="H")),$V$20:$V292,"&lt;=$"&amp;V292)</f>
        <v>0</v>
      </c>
    </row>
    <row r="293" spans="24:24" x14ac:dyDescent="0.2">
      <c r="X293" s="32">
        <f>_xlfn.MAXIFS($U$20:$U293,$T$20:$T293,"H",$U$20:$U293,"&gt;="&amp;LOOKUP(2,1/($T$20:$T293="H")),$V$20:$V293,"&lt;=$"&amp;V293)</f>
        <v>0</v>
      </c>
    </row>
    <row r="294" spans="24:24" x14ac:dyDescent="0.2">
      <c r="X294" s="32">
        <f>_xlfn.MAXIFS($U$20:$U294,$T$20:$T294,"H",$U$20:$U294,"&gt;="&amp;LOOKUP(2,1/($T$20:$T294="H")),$V$20:$V294,"&lt;=$"&amp;V294)</f>
        <v>0</v>
      </c>
    </row>
    <row r="295" spans="24:24" x14ac:dyDescent="0.2">
      <c r="X295" s="32">
        <f>_xlfn.MAXIFS($U$20:$U295,$T$20:$T295,"H",$U$20:$U295,"&gt;="&amp;LOOKUP(2,1/($T$20:$T295="H")),$V$20:$V295,"&lt;=$"&amp;V295)</f>
        <v>0</v>
      </c>
    </row>
    <row r="296" spans="24:24" x14ac:dyDescent="0.2">
      <c r="X296" s="32">
        <f>_xlfn.MAXIFS($U$20:$U296,$T$20:$T296,"H",$U$20:$U296,"&gt;="&amp;LOOKUP(2,1/($T$20:$T296="H")),$V$20:$V296,"&lt;=$"&amp;V296)</f>
        <v>0</v>
      </c>
    </row>
    <row r="297" spans="24:24" x14ac:dyDescent="0.2">
      <c r="X297" s="32">
        <f>_xlfn.MAXIFS($U$20:$U297,$T$20:$T297,"H",$U$20:$U297,"&gt;="&amp;LOOKUP(2,1/($T$20:$T297="H")),$V$20:$V297,"&lt;=$"&amp;V297)</f>
        <v>0</v>
      </c>
    </row>
    <row r="298" spans="24:24" x14ac:dyDescent="0.2">
      <c r="X298" s="32">
        <f>_xlfn.MAXIFS($U$20:$U298,$T$20:$T298,"H",$U$20:$U298,"&gt;="&amp;LOOKUP(2,1/($T$20:$T298="H")),$V$20:$V298,"&lt;=$"&amp;V298)</f>
        <v>0</v>
      </c>
    </row>
    <row r="299" spans="24:24" x14ac:dyDescent="0.2">
      <c r="X299" s="32">
        <f>_xlfn.MAXIFS($U$20:$U299,$T$20:$T299,"H",$U$20:$U299,"&gt;="&amp;LOOKUP(2,1/($T$20:$T299="H")),$V$20:$V299,"&lt;=$"&amp;V299)</f>
        <v>0</v>
      </c>
    </row>
    <row r="300" spans="24:24" x14ac:dyDescent="0.2">
      <c r="X300" s="32">
        <f>_xlfn.MAXIFS($U$20:$U300,$T$20:$T300,"H",$U$20:$U300,"&gt;="&amp;LOOKUP(2,1/($T$20:$T300="H")),$V$20:$V300,"&lt;=$"&amp;V300)</f>
        <v>0</v>
      </c>
    </row>
    <row r="301" spans="24:24" x14ac:dyDescent="0.2">
      <c r="X301" s="32">
        <f>_xlfn.MAXIFS($U$20:$U301,$T$20:$T301,"H",$U$20:$U301,"&gt;="&amp;LOOKUP(2,1/($T$20:$T301="H")),$V$20:$V301,"&lt;=$"&amp;V301)</f>
        <v>0</v>
      </c>
    </row>
    <row r="302" spans="24:24" x14ac:dyDescent="0.2">
      <c r="X302" s="32">
        <f>_xlfn.MAXIFS($U$20:$U302,$T$20:$T302,"H",$U$20:$U302,"&gt;="&amp;LOOKUP(2,1/($T$20:$T302="H")),$V$20:$V302,"&lt;=$"&amp;V302)</f>
        <v>0</v>
      </c>
    </row>
    <row r="303" spans="24:24" x14ac:dyDescent="0.2">
      <c r="X303" s="32">
        <f>_xlfn.MAXIFS($U$20:$U303,$T$20:$T303,"H",$U$20:$U303,"&gt;="&amp;LOOKUP(2,1/($T$20:$T303="H")),$V$20:$V303,"&lt;=$"&amp;V303)</f>
        <v>0</v>
      </c>
    </row>
    <row r="304" spans="24:24" x14ac:dyDescent="0.2">
      <c r="X304" s="32">
        <f>_xlfn.MAXIFS($U$20:$U304,$T$20:$T304,"H",$U$20:$U304,"&gt;="&amp;LOOKUP(2,1/($T$20:$T304="H")),$V$20:$V304,"&lt;=$"&amp;V304)</f>
        <v>0</v>
      </c>
    </row>
    <row r="305" spans="24:24" x14ac:dyDescent="0.2">
      <c r="X305" s="32">
        <f>_xlfn.MAXIFS($U$20:$U305,$T$20:$T305,"H",$U$20:$U305,"&gt;="&amp;LOOKUP(2,1/($T$20:$T305="H")),$V$20:$V305,"&lt;=$"&amp;V305)</f>
        <v>0</v>
      </c>
    </row>
    <row r="306" spans="24:24" x14ac:dyDescent="0.2">
      <c r="X306" s="32">
        <f>_xlfn.MAXIFS($U$20:$U306,$T$20:$T306,"H",$U$20:$U306,"&gt;="&amp;LOOKUP(2,1/($T$20:$T306="H")),$V$20:$V306,"&lt;=$"&amp;V306)</f>
        <v>0</v>
      </c>
    </row>
    <row r="307" spans="24:24" x14ac:dyDescent="0.2">
      <c r="X307" s="32">
        <f>_xlfn.MAXIFS($U$20:$U307,$T$20:$T307,"H",$U$20:$U307,"&gt;="&amp;LOOKUP(2,1/($T$20:$T307="H")),$V$20:$V307,"&lt;=$"&amp;V307)</f>
        <v>0</v>
      </c>
    </row>
    <row r="308" spans="24:24" x14ac:dyDescent="0.2">
      <c r="X308" s="32">
        <f>_xlfn.MAXIFS($U$20:$U308,$T$20:$T308,"H",$U$20:$U308,"&gt;="&amp;LOOKUP(2,1/($T$20:$T308="H")),$V$20:$V308,"&lt;=$"&amp;V308)</f>
        <v>0</v>
      </c>
    </row>
    <row r="309" spans="24:24" x14ac:dyDescent="0.2">
      <c r="X309" s="32">
        <f>_xlfn.MAXIFS($U$20:$U309,$T$20:$T309,"H",$U$20:$U309,"&gt;="&amp;LOOKUP(2,1/($T$20:$T309="H")),$V$20:$V309,"&lt;=$"&amp;V309)</f>
        <v>0</v>
      </c>
    </row>
    <row r="310" spans="24:24" x14ac:dyDescent="0.2">
      <c r="X310" s="32">
        <f>_xlfn.MAXIFS($U$20:$U310,$T$20:$T310,"H",$U$20:$U310,"&gt;="&amp;LOOKUP(2,1/($T$20:$T310="H")),$V$20:$V310,"&lt;=$"&amp;V310)</f>
        <v>0</v>
      </c>
    </row>
    <row r="311" spans="24:24" x14ac:dyDescent="0.2">
      <c r="X311" s="32">
        <f>_xlfn.MAXIFS($U$20:$U311,$T$20:$T311,"H",$U$20:$U311,"&gt;="&amp;LOOKUP(2,1/($T$20:$T311="H")),$V$20:$V311,"&lt;=$"&amp;V311)</f>
        <v>0</v>
      </c>
    </row>
    <row r="312" spans="24:24" x14ac:dyDescent="0.2">
      <c r="X312" s="32">
        <f>_xlfn.MAXIFS($U$20:$U312,$T$20:$T312,"H",$U$20:$U312,"&gt;="&amp;LOOKUP(2,1/($T$20:$T312="H")),$V$20:$V312,"&lt;=$"&amp;V312)</f>
        <v>0</v>
      </c>
    </row>
    <row r="313" spans="24:24" x14ac:dyDescent="0.2">
      <c r="X313" s="32">
        <f>_xlfn.MAXIFS($U$20:$U313,$T$20:$T313,"H",$U$20:$U313,"&gt;="&amp;LOOKUP(2,1/($T$20:$T313="H")),$V$20:$V313,"&lt;=$"&amp;V313)</f>
        <v>0</v>
      </c>
    </row>
    <row r="314" spans="24:24" x14ac:dyDescent="0.2">
      <c r="X314" s="32">
        <f>_xlfn.MAXIFS($U$20:$U314,$T$20:$T314,"H",$U$20:$U314,"&gt;="&amp;LOOKUP(2,1/($T$20:$T314="H")),$V$20:$V314,"&lt;=$"&amp;V314)</f>
        <v>0</v>
      </c>
    </row>
    <row r="315" spans="24:24" x14ac:dyDescent="0.2">
      <c r="X315" s="32">
        <f>_xlfn.MAXIFS($U$20:$U315,$T$20:$T315,"H",$U$20:$U315,"&gt;="&amp;LOOKUP(2,1/($T$20:$T315="H")),$V$20:$V315,"&lt;=$"&amp;V315)</f>
        <v>0</v>
      </c>
    </row>
    <row r="316" spans="24:24" x14ac:dyDescent="0.2">
      <c r="X316" s="32">
        <f>_xlfn.MAXIFS($U$20:$U316,$T$20:$T316,"H",$U$20:$U316,"&gt;="&amp;LOOKUP(2,1/($T$20:$T316="H")),$V$20:$V316,"&lt;=$"&amp;V316)</f>
        <v>0</v>
      </c>
    </row>
    <row r="317" spans="24:24" x14ac:dyDescent="0.2">
      <c r="X317" s="32">
        <f>_xlfn.MAXIFS($U$20:$U317,$T$20:$T317,"H",$U$20:$U317,"&gt;="&amp;LOOKUP(2,1/($T$20:$T317="H")),$V$20:$V317,"&lt;=$"&amp;V317)</f>
        <v>0</v>
      </c>
    </row>
    <row r="318" spans="24:24" x14ac:dyDescent="0.2">
      <c r="X318" s="32">
        <f>_xlfn.MAXIFS($U$20:$U318,$T$20:$T318,"H",$U$20:$U318,"&gt;="&amp;LOOKUP(2,1/($T$20:$T318="H")),$V$20:$V318,"&lt;=$"&amp;V318)</f>
        <v>0</v>
      </c>
    </row>
    <row r="319" spans="24:24" x14ac:dyDescent="0.2">
      <c r="X319" s="32">
        <f>_xlfn.MAXIFS($U$20:$U319,$T$20:$T319,"H",$U$20:$U319,"&gt;="&amp;LOOKUP(2,1/($T$20:$T319="H")),$V$20:$V319,"&lt;=$"&amp;V319)</f>
        <v>0</v>
      </c>
    </row>
    <row r="320" spans="24:24" x14ac:dyDescent="0.2">
      <c r="X320" s="32">
        <f>_xlfn.MAXIFS($U$20:$U320,$T$20:$T320,"H",$U$20:$U320,"&gt;="&amp;LOOKUP(2,1/($T$20:$T320="H")),$V$20:$V320,"&lt;=$"&amp;V320)</f>
        <v>0</v>
      </c>
    </row>
    <row r="321" spans="24:24" x14ac:dyDescent="0.2">
      <c r="X321" s="32">
        <f>_xlfn.MAXIFS($U$20:$U321,$T$20:$T321,"H",$U$20:$U321,"&gt;="&amp;LOOKUP(2,1/($T$20:$T321="H")),$V$20:$V321,"&lt;=$"&amp;V321)</f>
        <v>0</v>
      </c>
    </row>
    <row r="322" spans="24:24" x14ac:dyDescent="0.2">
      <c r="X322" s="32">
        <f>_xlfn.MAXIFS($U$20:$U322,$T$20:$T322,"H",$U$20:$U322,"&gt;="&amp;LOOKUP(2,1/($T$20:$T322="H")),$V$20:$V322,"&lt;=$"&amp;V322)</f>
        <v>0</v>
      </c>
    </row>
    <row r="323" spans="24:24" x14ac:dyDescent="0.2">
      <c r="X323" s="32">
        <f>_xlfn.MAXIFS($U$20:$U323,$T$20:$T323,"H",$U$20:$U323,"&gt;="&amp;LOOKUP(2,1/($T$20:$T323="H")),$V$20:$V323,"&lt;=$"&amp;V323)</f>
        <v>0</v>
      </c>
    </row>
    <row r="324" spans="24:24" x14ac:dyDescent="0.2">
      <c r="X324" s="32">
        <f>_xlfn.MAXIFS($U$20:$U324,$T$20:$T324,"H",$U$20:$U324,"&gt;="&amp;LOOKUP(2,1/($T$20:$T324="H")),$V$20:$V324,"&lt;=$"&amp;V324)</f>
        <v>0</v>
      </c>
    </row>
    <row r="325" spans="24:24" x14ac:dyDescent="0.2">
      <c r="X325" s="32">
        <f>_xlfn.MAXIFS($U$20:$U325,$T$20:$T325,"H",$U$20:$U325,"&gt;="&amp;LOOKUP(2,1/($T$20:$T325="H")),$V$20:$V325,"&lt;=$"&amp;V325)</f>
        <v>0</v>
      </c>
    </row>
    <row r="326" spans="24:24" x14ac:dyDescent="0.2">
      <c r="X326" s="32">
        <f>_xlfn.MAXIFS($U$20:$U326,$T$20:$T326,"H",$U$20:$U326,"&gt;="&amp;LOOKUP(2,1/($T$20:$T326="H")),$V$20:$V326,"&lt;=$"&amp;V326)</f>
        <v>0</v>
      </c>
    </row>
    <row r="327" spans="24:24" x14ac:dyDescent="0.2">
      <c r="X327" s="32">
        <f>_xlfn.MAXIFS($U$20:$U327,$T$20:$T327,"H",$U$20:$U327,"&gt;="&amp;LOOKUP(2,1/($T$20:$T327="H")),$V$20:$V327,"&lt;=$"&amp;V327)</f>
        <v>0</v>
      </c>
    </row>
    <row r="328" spans="24:24" x14ac:dyDescent="0.2">
      <c r="X328" s="32">
        <f>_xlfn.MAXIFS($U$20:$U328,$T$20:$T328,"H",$U$20:$U328,"&gt;="&amp;LOOKUP(2,1/($T$20:$T328="H")),$V$20:$V328,"&lt;=$"&amp;V328)</f>
        <v>0</v>
      </c>
    </row>
    <row r="329" spans="24:24" x14ac:dyDescent="0.2">
      <c r="X329" s="32">
        <f>_xlfn.MAXIFS($U$20:$U329,$T$20:$T329,"H",$U$20:$U329,"&gt;="&amp;LOOKUP(2,1/($T$20:$T329="H")),$V$20:$V329,"&lt;=$"&amp;V329)</f>
        <v>0</v>
      </c>
    </row>
    <row r="330" spans="24:24" x14ac:dyDescent="0.2">
      <c r="X330" s="32">
        <f>_xlfn.MAXIFS($U$20:$U330,$T$20:$T330,"H",$U$20:$U330,"&gt;="&amp;LOOKUP(2,1/($T$20:$T330="H")),$V$20:$V330,"&lt;=$"&amp;V330)</f>
        <v>0</v>
      </c>
    </row>
    <row r="331" spans="24:24" x14ac:dyDescent="0.2">
      <c r="X331" s="32">
        <f>_xlfn.MAXIFS($U$20:$U331,$T$20:$T331,"H",$U$20:$U331,"&gt;="&amp;LOOKUP(2,1/($T$20:$T331="H")),$V$20:$V331,"&lt;=$"&amp;V331)</f>
        <v>0</v>
      </c>
    </row>
    <row r="332" spans="24:24" x14ac:dyDescent="0.2">
      <c r="X332" s="32">
        <f>_xlfn.MAXIFS($U$20:$U332,$T$20:$T332,"H",$U$20:$U332,"&gt;="&amp;LOOKUP(2,1/($T$20:$T332="H")),$V$20:$V332,"&lt;=$"&amp;V332)</f>
        <v>0</v>
      </c>
    </row>
    <row r="333" spans="24:24" x14ac:dyDescent="0.2">
      <c r="X333" s="32">
        <f>_xlfn.MAXIFS($U$20:$U333,$T$20:$T333,"H",$U$20:$U333,"&gt;="&amp;LOOKUP(2,1/($T$20:$T333="H")),$V$20:$V333,"&lt;=$"&amp;V333)</f>
        <v>0</v>
      </c>
    </row>
    <row r="334" spans="24:24" x14ac:dyDescent="0.2">
      <c r="X334" s="32">
        <f>_xlfn.MAXIFS($U$20:$U334,$T$20:$T334,"H",$U$20:$U334,"&gt;="&amp;LOOKUP(2,1/($T$20:$T334="H")),$V$20:$V334,"&lt;=$"&amp;V334)</f>
        <v>0</v>
      </c>
    </row>
    <row r="335" spans="24:24" x14ac:dyDescent="0.2">
      <c r="X335" s="32">
        <f>_xlfn.MAXIFS($U$20:$U335,$T$20:$T335,"H",$U$20:$U335,"&gt;="&amp;LOOKUP(2,1/($T$20:$T335="H")),$V$20:$V335,"&lt;=$"&amp;V335)</f>
        <v>0</v>
      </c>
    </row>
    <row r="336" spans="24:24" x14ac:dyDescent="0.2">
      <c r="X336" s="32">
        <f>_xlfn.MAXIFS($U$20:$U336,$T$20:$T336,"H",$U$20:$U336,"&gt;="&amp;LOOKUP(2,1/($T$20:$T336="H")),$V$20:$V336,"&lt;=$"&amp;V336)</f>
        <v>0</v>
      </c>
    </row>
    <row r="337" spans="24:24" x14ac:dyDescent="0.2">
      <c r="X337" s="32">
        <f>_xlfn.MAXIFS($U$20:$U337,$T$20:$T337,"H",$U$20:$U337,"&gt;="&amp;LOOKUP(2,1/($T$20:$T337="H")),$V$20:$V337,"&lt;=$"&amp;V337)</f>
        <v>0</v>
      </c>
    </row>
    <row r="338" spans="24:24" x14ac:dyDescent="0.2">
      <c r="X338" s="32">
        <f>_xlfn.MAXIFS($U$20:$U338,$T$20:$T338,"H",$U$20:$U338,"&gt;="&amp;LOOKUP(2,1/($T$20:$T338="H")),$V$20:$V338,"&lt;=$"&amp;V338)</f>
        <v>0</v>
      </c>
    </row>
    <row r="339" spans="24:24" x14ac:dyDescent="0.2">
      <c r="X339" s="32">
        <f>_xlfn.MAXIFS($U$20:$U339,$T$20:$T339,"H",$U$20:$U339,"&gt;="&amp;LOOKUP(2,1/($T$20:$T339="H")),$V$20:$V339,"&lt;=$"&amp;V339)</f>
        <v>0</v>
      </c>
    </row>
    <row r="340" spans="24:24" x14ac:dyDescent="0.2">
      <c r="X340" s="32">
        <f>_xlfn.MAXIFS($U$20:$U340,$T$20:$T340,"H",$U$20:$U340,"&gt;="&amp;LOOKUP(2,1/($T$20:$T340="H")),$V$20:$V340,"&lt;=$"&amp;V340)</f>
        <v>0</v>
      </c>
    </row>
    <row r="341" spans="24:24" x14ac:dyDescent="0.2">
      <c r="X341" s="32">
        <f>_xlfn.MAXIFS($U$20:$U341,$T$20:$T341,"H",$U$20:$U341,"&gt;="&amp;LOOKUP(2,1/($T$20:$T341="H")),$V$20:$V341,"&lt;=$"&amp;V341)</f>
        <v>0</v>
      </c>
    </row>
    <row r="342" spans="24:24" x14ac:dyDescent="0.2">
      <c r="X342" s="32">
        <f>_xlfn.MAXIFS($U$20:$U342,$T$20:$T342,"H",$U$20:$U342,"&gt;="&amp;LOOKUP(2,1/($T$20:$T342="H")),$V$20:$V342,"&lt;=$"&amp;V342)</f>
        <v>0</v>
      </c>
    </row>
    <row r="343" spans="24:24" x14ac:dyDescent="0.2">
      <c r="X343" s="32">
        <f>_xlfn.MAXIFS($U$20:$U343,$T$20:$T343,"H",$U$20:$U343,"&gt;="&amp;LOOKUP(2,1/($T$20:$T343="H")),$V$20:$V343,"&lt;=$"&amp;V343)</f>
        <v>0</v>
      </c>
    </row>
    <row r="344" spans="24:24" x14ac:dyDescent="0.2">
      <c r="X344" s="32">
        <f>_xlfn.MAXIFS($U$20:$U344,$T$20:$T344,"H",$U$20:$U344,"&gt;="&amp;LOOKUP(2,1/($T$20:$T344="H")),$V$20:$V344,"&lt;=$"&amp;V344)</f>
        <v>0</v>
      </c>
    </row>
    <row r="345" spans="24:24" x14ac:dyDescent="0.2">
      <c r="X345" s="32">
        <f>_xlfn.MAXIFS($U$20:$U345,$T$20:$T345,"H",$U$20:$U345,"&gt;="&amp;LOOKUP(2,1/($T$20:$T345="H")),$V$20:$V345,"&lt;=$"&amp;V345)</f>
        <v>0</v>
      </c>
    </row>
    <row r="346" spans="24:24" x14ac:dyDescent="0.2">
      <c r="X346" s="32">
        <f>_xlfn.MAXIFS($U$20:$U346,$T$20:$T346,"H",$U$20:$U346,"&gt;="&amp;LOOKUP(2,1/($T$20:$T346="H")),$V$20:$V346,"&lt;=$"&amp;V346)</f>
        <v>0</v>
      </c>
    </row>
    <row r="347" spans="24:24" x14ac:dyDescent="0.2">
      <c r="X347" s="32">
        <f>_xlfn.MAXIFS($U$20:$U347,$T$20:$T347,"H",$U$20:$U347,"&gt;="&amp;LOOKUP(2,1/($T$20:$T347="H")),$V$20:$V347,"&lt;=$"&amp;V347)</f>
        <v>0</v>
      </c>
    </row>
    <row r="348" spans="24:24" x14ac:dyDescent="0.2">
      <c r="X348" s="32">
        <f>_xlfn.MAXIFS($U$20:$U348,$T$20:$T348,"H",$U$20:$U348,"&gt;="&amp;LOOKUP(2,1/($T$20:$T348="H")),$V$20:$V348,"&lt;=$"&amp;V348)</f>
        <v>0</v>
      </c>
    </row>
    <row r="349" spans="24:24" x14ac:dyDescent="0.2">
      <c r="X349" s="32">
        <f>_xlfn.MAXIFS($U$20:$U349,$T$20:$T349,"H",$U$20:$U349,"&gt;="&amp;LOOKUP(2,1/($T$20:$T349="H")),$V$20:$V349,"&lt;=$"&amp;V349)</f>
        <v>0</v>
      </c>
    </row>
    <row r="350" spans="24:24" x14ac:dyDescent="0.2">
      <c r="X350" s="32">
        <f>_xlfn.MAXIFS($U$20:$U350,$T$20:$T350,"H",$U$20:$U350,"&gt;="&amp;LOOKUP(2,1/($T$20:$T350="H")),$V$20:$V350,"&lt;=$"&amp;V350)</f>
        <v>0</v>
      </c>
    </row>
    <row r="351" spans="24:24" x14ac:dyDescent="0.2">
      <c r="X351" s="32">
        <f>_xlfn.MAXIFS($U$20:$U351,$T$20:$T351,"H",$U$20:$U351,"&gt;="&amp;LOOKUP(2,1/($T$20:$T351="H")),$V$20:$V351,"&lt;=$"&amp;V351)</f>
        <v>0</v>
      </c>
    </row>
    <row r="352" spans="24:24" x14ac:dyDescent="0.2">
      <c r="X352" s="32">
        <f>_xlfn.MAXIFS($U$20:$U352,$T$20:$T352,"H",$U$20:$U352,"&gt;="&amp;LOOKUP(2,1/($T$20:$T352="H")),$V$20:$V352,"&lt;=$"&amp;V352)</f>
        <v>0</v>
      </c>
    </row>
    <row r="353" spans="24:24" x14ac:dyDescent="0.2">
      <c r="X353" s="32">
        <f>_xlfn.MAXIFS($U$20:$U353,$T$20:$T353,"H",$U$20:$U353,"&gt;="&amp;LOOKUP(2,1/($T$20:$T353="H")),$V$20:$V353,"&lt;=$"&amp;V353)</f>
        <v>0</v>
      </c>
    </row>
    <row r="354" spans="24:24" x14ac:dyDescent="0.2">
      <c r="X354" s="32">
        <f>_xlfn.MAXIFS($U$20:$U354,$T$20:$T354,"H",$U$20:$U354,"&gt;="&amp;LOOKUP(2,1/($T$20:$T354="H")),$V$20:$V354,"&lt;=$"&amp;V354)</f>
        <v>0</v>
      </c>
    </row>
    <row r="355" spans="24:24" x14ac:dyDescent="0.2">
      <c r="X355" s="32">
        <f>_xlfn.MAXIFS($U$20:$U355,$T$20:$T355,"H",$U$20:$U355,"&gt;="&amp;LOOKUP(2,1/($T$20:$T355="H")),$V$20:$V355,"&lt;=$"&amp;V355)</f>
        <v>0</v>
      </c>
    </row>
    <row r="356" spans="24:24" x14ac:dyDescent="0.2">
      <c r="X356" s="32">
        <f>_xlfn.MAXIFS($U$20:$U356,$T$20:$T356,"H",$U$20:$U356,"&gt;="&amp;LOOKUP(2,1/($T$20:$T356="H")),$V$20:$V356,"&lt;=$"&amp;V356)</f>
        <v>0</v>
      </c>
    </row>
    <row r="357" spans="24:24" x14ac:dyDescent="0.2">
      <c r="X357" s="32">
        <f>_xlfn.MAXIFS($U$20:$U357,$T$20:$T357,"H",$U$20:$U357,"&gt;="&amp;LOOKUP(2,1/($T$20:$T357="H")),$V$20:$V357,"&lt;=$"&amp;V357)</f>
        <v>0</v>
      </c>
    </row>
    <row r="358" spans="24:24" x14ac:dyDescent="0.2">
      <c r="X358" s="32">
        <f>_xlfn.MAXIFS($U$20:$U358,$T$20:$T358,"H",$U$20:$U358,"&gt;="&amp;LOOKUP(2,1/($T$20:$T358="H")),$V$20:$V358,"&lt;=$"&amp;V358)</f>
        <v>0</v>
      </c>
    </row>
    <row r="359" spans="24:24" x14ac:dyDescent="0.2">
      <c r="X359" s="32">
        <f>_xlfn.MAXIFS($U$20:$U359,$T$20:$T359,"H",$U$20:$U359,"&gt;="&amp;LOOKUP(2,1/($T$20:$T359="H")),$V$20:$V359,"&lt;=$"&amp;V359)</f>
        <v>0</v>
      </c>
    </row>
    <row r="360" spans="24:24" x14ac:dyDescent="0.2">
      <c r="X360" s="32">
        <f>_xlfn.MAXIFS($U$20:$U360,$T$20:$T360,"H",$U$20:$U360,"&gt;="&amp;LOOKUP(2,1/($T$20:$T360="H")),$V$20:$V360,"&lt;=$"&amp;V360)</f>
        <v>0</v>
      </c>
    </row>
    <row r="361" spans="24:24" x14ac:dyDescent="0.2">
      <c r="X361" s="32">
        <f>_xlfn.MAXIFS($U$20:$U361,$T$20:$T361,"H",$U$20:$U361,"&gt;="&amp;LOOKUP(2,1/($T$20:$T361="H")),$V$20:$V361,"&lt;=$"&amp;V361)</f>
        <v>0</v>
      </c>
    </row>
    <row r="362" spans="24:24" x14ac:dyDescent="0.2">
      <c r="X362" s="32">
        <f>_xlfn.MAXIFS($U$20:$U362,$T$20:$T362,"H",$U$20:$U362,"&gt;="&amp;LOOKUP(2,1/($T$20:$T362="H")),$V$20:$V362,"&lt;=$"&amp;V362)</f>
        <v>0</v>
      </c>
    </row>
    <row r="363" spans="24:24" x14ac:dyDescent="0.2">
      <c r="X363" s="32">
        <f>_xlfn.MAXIFS($U$20:$U363,$T$20:$T363,"H",$U$20:$U363,"&gt;="&amp;LOOKUP(2,1/($T$20:$T363="H")),$V$20:$V363,"&lt;=$"&amp;V363)</f>
        <v>0</v>
      </c>
    </row>
    <row r="364" spans="24:24" x14ac:dyDescent="0.2">
      <c r="X364" s="32">
        <f>_xlfn.MAXIFS($U$20:$U364,$T$20:$T364,"H",$U$20:$U364,"&gt;="&amp;LOOKUP(2,1/($T$20:$T364="H")),$V$20:$V364,"&lt;=$"&amp;V364)</f>
        <v>0</v>
      </c>
    </row>
    <row r="365" spans="24:24" x14ac:dyDescent="0.2">
      <c r="X365" s="32">
        <f>_xlfn.MAXIFS($U$20:$U365,$T$20:$T365,"H",$U$20:$U365,"&gt;="&amp;LOOKUP(2,1/($T$20:$T365="H")),$V$20:$V365,"&lt;=$"&amp;V365)</f>
        <v>0</v>
      </c>
    </row>
    <row r="366" spans="24:24" x14ac:dyDescent="0.2">
      <c r="X366" s="32">
        <f>_xlfn.MAXIFS($U$20:$U366,$T$20:$T366,"H",$U$20:$U366,"&gt;="&amp;LOOKUP(2,1/($T$20:$T366="H")),$V$20:$V366,"&lt;=$"&amp;V366)</f>
        <v>0</v>
      </c>
    </row>
    <row r="367" spans="24:24" x14ac:dyDescent="0.2">
      <c r="X367" s="32">
        <f>_xlfn.MAXIFS($U$20:$U367,$T$20:$T367,"H",$U$20:$U367,"&gt;="&amp;LOOKUP(2,1/($T$20:$T367="H")),$V$20:$V367,"&lt;=$"&amp;V367)</f>
        <v>0</v>
      </c>
    </row>
    <row r="368" spans="24:24" x14ac:dyDescent="0.2">
      <c r="X368" s="32">
        <f>_xlfn.MAXIFS($U$20:$U368,$T$20:$T368,"H",$U$20:$U368,"&gt;="&amp;LOOKUP(2,1/($T$20:$T368="H")),$V$20:$V368,"&lt;=$"&amp;V368)</f>
        <v>0</v>
      </c>
    </row>
    <row r="369" spans="24:24" x14ac:dyDescent="0.2">
      <c r="X369" s="32">
        <f>_xlfn.MAXIFS($U$20:$U369,$T$20:$T369,"H",$U$20:$U369,"&gt;="&amp;LOOKUP(2,1/($T$20:$T369="H")),$V$20:$V369,"&lt;=$"&amp;V369)</f>
        <v>0</v>
      </c>
    </row>
    <row r="370" spans="24:24" x14ac:dyDescent="0.2">
      <c r="X370" s="32">
        <f>_xlfn.MAXIFS($U$20:$U370,$T$20:$T370,"H",$U$20:$U370,"&gt;="&amp;LOOKUP(2,1/($T$20:$T370="H")),$V$20:$V370,"&lt;=$"&amp;V370)</f>
        <v>0</v>
      </c>
    </row>
    <row r="371" spans="24:24" x14ac:dyDescent="0.2">
      <c r="X371" s="32">
        <f>_xlfn.MAXIFS($U$20:$U371,$T$20:$T371,"H",$U$20:$U371,"&gt;="&amp;LOOKUP(2,1/($T$20:$T371="H")),$V$20:$V371,"&lt;=$"&amp;V371)</f>
        <v>0</v>
      </c>
    </row>
    <row r="372" spans="24:24" x14ac:dyDescent="0.2">
      <c r="X372" s="32">
        <f>_xlfn.MAXIFS($U$20:$U372,$T$20:$T372,"H",$U$20:$U372,"&gt;="&amp;LOOKUP(2,1/($T$20:$T372="H")),$V$20:$V372,"&lt;=$"&amp;V372)</f>
        <v>0</v>
      </c>
    </row>
    <row r="373" spans="24:24" x14ac:dyDescent="0.2">
      <c r="X373" s="32">
        <f>_xlfn.MAXIFS($U$20:$U373,$T$20:$T373,"H",$U$20:$U373,"&gt;="&amp;LOOKUP(2,1/($T$20:$T373="H")),$V$20:$V373,"&lt;=$"&amp;V373)</f>
        <v>0</v>
      </c>
    </row>
    <row r="374" spans="24:24" x14ac:dyDescent="0.2">
      <c r="X374" s="32">
        <f>_xlfn.MAXIFS($U$20:$U374,$T$20:$T374,"H",$U$20:$U374,"&gt;="&amp;LOOKUP(2,1/($T$20:$T374="H")),$V$20:$V374,"&lt;=$"&amp;V374)</f>
        <v>0</v>
      </c>
    </row>
    <row r="375" spans="24:24" x14ac:dyDescent="0.2">
      <c r="X375" s="32">
        <f>_xlfn.MAXIFS($U$20:$U375,$T$20:$T375,"H",$U$20:$U375,"&gt;="&amp;LOOKUP(2,1/($T$20:$T375="H")),$V$20:$V375,"&lt;=$"&amp;V375)</f>
        <v>0</v>
      </c>
    </row>
    <row r="376" spans="24:24" x14ac:dyDescent="0.2">
      <c r="X376" s="32">
        <f>_xlfn.MAXIFS($U$20:$U376,$T$20:$T376,"H",$U$20:$U376,"&gt;="&amp;LOOKUP(2,1/($T$20:$T376="H")),$V$20:$V376,"&lt;=$"&amp;V376)</f>
        <v>0</v>
      </c>
    </row>
    <row r="377" spans="24:24" x14ac:dyDescent="0.2">
      <c r="X377" s="32">
        <f>_xlfn.MAXIFS($U$20:$U377,$T$20:$T377,"H",$U$20:$U377,"&gt;="&amp;LOOKUP(2,1/($T$20:$T377="H")),$V$20:$V377,"&lt;=$"&amp;V377)</f>
        <v>0</v>
      </c>
    </row>
    <row r="378" spans="24:24" x14ac:dyDescent="0.2">
      <c r="X378" s="32">
        <f>_xlfn.MAXIFS($U$20:$U378,$T$20:$T378,"H",$U$20:$U378,"&gt;="&amp;LOOKUP(2,1/($T$20:$T378="H")),$V$20:$V378,"&lt;=$"&amp;V378)</f>
        <v>0</v>
      </c>
    </row>
    <row r="379" spans="24:24" x14ac:dyDescent="0.2">
      <c r="X379" s="32">
        <f>_xlfn.MAXIFS($U$20:$U379,$T$20:$T379,"H",$U$20:$U379,"&gt;="&amp;LOOKUP(2,1/($T$20:$T379="H")),$V$20:$V379,"&lt;=$"&amp;V379)</f>
        <v>0</v>
      </c>
    </row>
    <row r="380" spans="24:24" x14ac:dyDescent="0.2">
      <c r="X380" s="32">
        <f>_xlfn.MAXIFS($U$20:$U380,$T$20:$T380,"H",$U$20:$U380,"&gt;="&amp;LOOKUP(2,1/($T$20:$T380="H")),$V$20:$V380,"&lt;=$"&amp;V380)</f>
        <v>0</v>
      </c>
    </row>
    <row r="381" spans="24:24" x14ac:dyDescent="0.2">
      <c r="X381" s="32">
        <f>_xlfn.MAXIFS($U$20:$U381,$T$20:$T381,"H",$U$20:$U381,"&gt;="&amp;LOOKUP(2,1/($T$20:$T381="H")),$V$20:$V381,"&lt;=$"&amp;V381)</f>
        <v>0</v>
      </c>
    </row>
    <row r="382" spans="24:24" x14ac:dyDescent="0.2">
      <c r="X382" s="32">
        <f>_xlfn.MAXIFS($U$20:$U382,$T$20:$T382,"H",$U$20:$U382,"&gt;="&amp;LOOKUP(2,1/($T$20:$T382="H")),$V$20:$V382,"&lt;=$"&amp;V382)</f>
        <v>0</v>
      </c>
    </row>
    <row r="383" spans="24:24" x14ac:dyDescent="0.2">
      <c r="X383" s="32">
        <f>_xlfn.MAXIFS($U$20:$U383,$T$20:$T383,"H",$U$20:$U383,"&gt;="&amp;LOOKUP(2,1/($T$20:$T383="H")),$V$20:$V383,"&lt;=$"&amp;V383)</f>
        <v>0</v>
      </c>
    </row>
    <row r="384" spans="24:24" x14ac:dyDescent="0.2">
      <c r="X384" s="32">
        <f>_xlfn.MAXIFS($U$20:$U384,$T$20:$T384,"H",$U$20:$U384,"&gt;="&amp;LOOKUP(2,1/($T$20:$T384="H")),$V$20:$V384,"&lt;=$"&amp;V384)</f>
        <v>0</v>
      </c>
    </row>
    <row r="385" spans="24:24" x14ac:dyDescent="0.2">
      <c r="X385" s="32">
        <f>_xlfn.MAXIFS($U$20:$U385,$T$20:$T385,"H",$U$20:$U385,"&gt;="&amp;LOOKUP(2,1/($T$20:$T385="H")),$V$20:$V385,"&lt;=$"&amp;V385)</f>
        <v>0</v>
      </c>
    </row>
    <row r="386" spans="24:24" x14ac:dyDescent="0.2">
      <c r="X386" s="32">
        <f>_xlfn.MAXIFS($U$20:$U386,$T$20:$T386,"H",$U$20:$U386,"&gt;="&amp;LOOKUP(2,1/($T$20:$T386="H")),$V$20:$V386,"&lt;=$"&amp;V386)</f>
        <v>0</v>
      </c>
    </row>
    <row r="387" spans="24:24" x14ac:dyDescent="0.2">
      <c r="X387" s="32">
        <f>_xlfn.MAXIFS($U$20:$U387,$T$20:$T387,"H",$U$20:$U387,"&gt;="&amp;LOOKUP(2,1/($T$20:$T387="H")),$V$20:$V387,"&lt;=$"&amp;V387)</f>
        <v>0</v>
      </c>
    </row>
    <row r="388" spans="24:24" x14ac:dyDescent="0.2">
      <c r="X388" s="32">
        <f>_xlfn.MAXIFS($U$20:$U388,$T$20:$T388,"H",$U$20:$U388,"&gt;="&amp;LOOKUP(2,1/($T$20:$T388="H")),$V$20:$V388,"&lt;=$"&amp;V388)</f>
        <v>0</v>
      </c>
    </row>
    <row r="389" spans="24:24" x14ac:dyDescent="0.2">
      <c r="X389" s="32">
        <f>_xlfn.MAXIFS($U$20:$U389,$T$20:$T389,"H",$U$20:$U389,"&gt;="&amp;LOOKUP(2,1/($T$20:$T389="H")),$V$20:$V389,"&lt;=$"&amp;V389)</f>
        <v>0</v>
      </c>
    </row>
    <row r="390" spans="24:24" x14ac:dyDescent="0.2">
      <c r="X390" s="32">
        <f>_xlfn.MAXIFS($U$20:$U390,$T$20:$T390,"H",$U$20:$U390,"&gt;="&amp;LOOKUP(2,1/($T$20:$T390="H")),$V$20:$V390,"&lt;=$"&amp;V390)</f>
        <v>0</v>
      </c>
    </row>
    <row r="391" spans="24:24" x14ac:dyDescent="0.2">
      <c r="X391" s="32">
        <f>_xlfn.MAXIFS($U$20:$U391,$T$20:$T391,"H",$U$20:$U391,"&gt;="&amp;LOOKUP(2,1/($T$20:$T391="H")),$V$20:$V391,"&lt;=$"&amp;V391)</f>
        <v>0</v>
      </c>
    </row>
    <row r="392" spans="24:24" x14ac:dyDescent="0.2">
      <c r="X392" s="32">
        <f>_xlfn.MAXIFS($U$20:$U392,$T$20:$T392,"H",$U$20:$U392,"&gt;="&amp;LOOKUP(2,1/($T$20:$T392="H")),$V$20:$V392,"&lt;=$"&amp;V392)</f>
        <v>0</v>
      </c>
    </row>
    <row r="393" spans="24:24" x14ac:dyDescent="0.2">
      <c r="X393" s="32">
        <f>_xlfn.MAXIFS($U$20:$U393,$T$20:$T393,"H",$U$20:$U393,"&gt;="&amp;LOOKUP(2,1/($T$20:$T393="H")),$V$20:$V393,"&lt;=$"&amp;V393)</f>
        <v>0</v>
      </c>
    </row>
    <row r="394" spans="24:24" x14ac:dyDescent="0.2">
      <c r="X394" s="32">
        <f>_xlfn.MAXIFS($U$20:$U394,$T$20:$T394,"H",$U$20:$U394,"&gt;="&amp;LOOKUP(2,1/($T$20:$T394="H")),$V$20:$V394,"&lt;=$"&amp;V394)</f>
        <v>0</v>
      </c>
    </row>
    <row r="395" spans="24:24" x14ac:dyDescent="0.2">
      <c r="X395" s="32">
        <f>_xlfn.MAXIFS($U$20:$U395,$T$20:$T395,"H",$U$20:$U395,"&gt;="&amp;LOOKUP(2,1/($T$20:$T395="H")),$V$20:$V395,"&lt;=$"&amp;V395)</f>
        <v>0</v>
      </c>
    </row>
    <row r="396" spans="24:24" x14ac:dyDescent="0.2">
      <c r="X396" s="32">
        <f>_xlfn.MAXIFS($U$20:$U396,$T$20:$T396,"H",$U$20:$U396,"&gt;="&amp;LOOKUP(2,1/($T$20:$T396="H")),$V$20:$V396,"&lt;=$"&amp;V396)</f>
        <v>0</v>
      </c>
    </row>
    <row r="397" spans="24:24" x14ac:dyDescent="0.2">
      <c r="X397" s="32">
        <f>_xlfn.MAXIFS($U$20:$U397,$T$20:$T397,"H",$U$20:$U397,"&gt;="&amp;LOOKUP(2,1/($T$20:$T397="H")),$V$20:$V397,"&lt;=$"&amp;V397)</f>
        <v>0</v>
      </c>
    </row>
    <row r="398" spans="24:24" x14ac:dyDescent="0.2">
      <c r="X398" s="32">
        <f>_xlfn.MAXIFS($U$20:$U398,$T$20:$T398,"H",$U$20:$U398,"&gt;="&amp;LOOKUP(2,1/($T$20:$T398="H")),$V$20:$V398,"&lt;=$"&amp;V398)</f>
        <v>0</v>
      </c>
    </row>
    <row r="399" spans="24:24" x14ac:dyDescent="0.2">
      <c r="X399" s="32">
        <f>_xlfn.MAXIFS($U$20:$U399,$T$20:$T399,"H",$U$20:$U399,"&gt;="&amp;LOOKUP(2,1/($T$20:$T399="H")),$V$20:$V399,"&lt;=$"&amp;V399)</f>
        <v>0</v>
      </c>
    </row>
    <row r="400" spans="24:24" x14ac:dyDescent="0.2">
      <c r="X400" s="32">
        <f>_xlfn.MAXIFS($U$20:$U400,$T$20:$T400,"H",$U$20:$U400,"&gt;="&amp;LOOKUP(2,1/($T$20:$T400="H")),$V$20:$V400,"&lt;=$"&amp;V400)</f>
        <v>0</v>
      </c>
    </row>
    <row r="401" spans="24:24" x14ac:dyDescent="0.2">
      <c r="X401" s="32">
        <f>_xlfn.MAXIFS($U$20:$U401,$T$20:$T401,"H",$U$20:$U401,"&gt;="&amp;LOOKUP(2,1/($T$20:$T401="H")),$V$20:$V401,"&lt;=$"&amp;V401)</f>
        <v>0</v>
      </c>
    </row>
    <row r="402" spans="24:24" x14ac:dyDescent="0.2">
      <c r="X402" s="32">
        <f>_xlfn.MAXIFS($U$20:$U402,$T$20:$T402,"H",$U$20:$U402,"&gt;="&amp;LOOKUP(2,1/($T$20:$T402="H")),$V$20:$V402,"&lt;=$"&amp;V402)</f>
        <v>0</v>
      </c>
    </row>
    <row r="403" spans="24:24" x14ac:dyDescent="0.2">
      <c r="X403" s="32">
        <f>_xlfn.MAXIFS($U$20:$U403,$T$20:$T403,"H",$U$20:$U403,"&gt;="&amp;LOOKUP(2,1/($T$20:$T403="H")),$V$20:$V403,"&lt;=$"&amp;V403)</f>
        <v>0</v>
      </c>
    </row>
    <row r="404" spans="24:24" x14ac:dyDescent="0.2">
      <c r="X404" s="32">
        <f>_xlfn.MAXIFS($U$20:$U404,$T$20:$T404,"H",$U$20:$U404,"&gt;="&amp;LOOKUP(2,1/($T$20:$T404="H")),$V$20:$V404,"&lt;=$"&amp;V404)</f>
        <v>0</v>
      </c>
    </row>
    <row r="405" spans="24:24" x14ac:dyDescent="0.2">
      <c r="X405" s="32">
        <f>_xlfn.MAXIFS($U$20:$U405,$T$20:$T405,"H",$U$20:$U405,"&gt;="&amp;LOOKUP(2,1/($T$20:$T405="H")),$V$20:$V405,"&lt;=$"&amp;V405)</f>
        <v>0</v>
      </c>
    </row>
    <row r="406" spans="24:24" x14ac:dyDescent="0.2">
      <c r="X406" s="32">
        <f>_xlfn.MAXIFS($U$20:$U406,$T$20:$T406,"H",$U$20:$U406,"&gt;="&amp;LOOKUP(2,1/($T$20:$T406="H")),$V$20:$V406,"&lt;=$"&amp;V406)</f>
        <v>0</v>
      </c>
    </row>
    <row r="407" spans="24:24" x14ac:dyDescent="0.2">
      <c r="X407" s="32">
        <f>_xlfn.MAXIFS($U$20:$U407,$T$20:$T407,"H",$U$20:$U407,"&gt;="&amp;LOOKUP(2,1/($T$20:$T407="H")),$V$20:$V407,"&lt;=$"&amp;V407)</f>
        <v>0</v>
      </c>
    </row>
    <row r="408" spans="24:24" x14ac:dyDescent="0.2">
      <c r="X408" s="32">
        <f>_xlfn.MAXIFS($U$20:$U408,$T$20:$T408,"H",$U$20:$U408,"&gt;="&amp;LOOKUP(2,1/($T$20:$T408="H")),$V$20:$V408,"&lt;=$"&amp;V408)</f>
        <v>0</v>
      </c>
    </row>
    <row r="409" spans="24:24" x14ac:dyDescent="0.2">
      <c r="X409" s="32">
        <f>_xlfn.MAXIFS($U$20:$U409,$T$20:$T409,"H",$U$20:$U409,"&gt;="&amp;LOOKUP(2,1/($T$20:$T409="H")),$V$20:$V409,"&lt;=$"&amp;V409)</f>
        <v>0</v>
      </c>
    </row>
    <row r="410" spans="24:24" x14ac:dyDescent="0.2">
      <c r="X410" s="32">
        <f>_xlfn.MAXIFS($U$20:$U410,$T$20:$T410,"H",$U$20:$U410,"&gt;="&amp;LOOKUP(2,1/($T$20:$T410="H")),$V$20:$V410,"&lt;=$"&amp;V410)</f>
        <v>0</v>
      </c>
    </row>
    <row r="411" spans="24:24" x14ac:dyDescent="0.2">
      <c r="X411" s="32">
        <f>_xlfn.MAXIFS($U$20:$U411,$T$20:$T411,"H",$U$20:$U411,"&gt;="&amp;LOOKUP(2,1/($T$20:$T411="H")),$V$20:$V411,"&lt;=$"&amp;V411)</f>
        <v>0</v>
      </c>
    </row>
    <row r="412" spans="24:24" x14ac:dyDescent="0.2">
      <c r="X412" s="32">
        <f>_xlfn.MAXIFS($U$20:$U412,$T$20:$T412,"H",$U$20:$U412,"&gt;="&amp;LOOKUP(2,1/($T$20:$T412="H")),$V$20:$V412,"&lt;=$"&amp;V412)</f>
        <v>0</v>
      </c>
    </row>
    <row r="413" spans="24:24" x14ac:dyDescent="0.2">
      <c r="X413" s="32">
        <f>_xlfn.MAXIFS($U$20:$U413,$T$20:$T413,"H",$U$20:$U413,"&gt;="&amp;LOOKUP(2,1/($T$20:$T413="H")),$V$20:$V413,"&lt;=$"&amp;V413)</f>
        <v>0</v>
      </c>
    </row>
    <row r="414" spans="24:24" x14ac:dyDescent="0.2">
      <c r="X414" s="32">
        <f>_xlfn.MAXIFS($U$20:$U414,$T$20:$T414,"H",$U$20:$U414,"&gt;="&amp;LOOKUP(2,1/($T$20:$T414="H")),$V$20:$V414,"&lt;=$"&amp;V414)</f>
        <v>0</v>
      </c>
    </row>
    <row r="415" spans="24:24" x14ac:dyDescent="0.2">
      <c r="X415" s="32">
        <f>_xlfn.MAXIFS($U$20:$U415,$T$20:$T415,"H",$U$20:$U415,"&gt;="&amp;LOOKUP(2,1/($T$20:$T415="H")),$V$20:$V415,"&lt;=$"&amp;V415)</f>
        <v>0</v>
      </c>
    </row>
    <row r="416" spans="24:24" x14ac:dyDescent="0.2">
      <c r="X416" s="32">
        <f>_xlfn.MAXIFS($U$20:$U416,$T$20:$T416,"H",$U$20:$U416,"&gt;="&amp;LOOKUP(2,1/($T$20:$T416="H")),$V$20:$V416,"&lt;=$"&amp;V416)</f>
        <v>0</v>
      </c>
    </row>
    <row r="417" spans="24:24" x14ac:dyDescent="0.2">
      <c r="X417" s="32">
        <f>_xlfn.MAXIFS($U$20:$U417,$T$20:$T417,"H",$U$20:$U417,"&gt;="&amp;LOOKUP(2,1/($T$20:$T417="H")),$V$20:$V417,"&lt;=$"&amp;V417)</f>
        <v>0</v>
      </c>
    </row>
    <row r="418" spans="24:24" x14ac:dyDescent="0.2">
      <c r="X418" s="32">
        <f>_xlfn.MAXIFS($U$20:$U418,$T$20:$T418,"H",$U$20:$U418,"&gt;="&amp;LOOKUP(2,1/($T$20:$T418="H")),$V$20:$V418,"&lt;=$"&amp;V418)</f>
        <v>0</v>
      </c>
    </row>
    <row r="419" spans="24:24" x14ac:dyDescent="0.2">
      <c r="X419" s="32">
        <f>_xlfn.MAXIFS($U$20:$U419,$T$20:$T419,"H",$U$20:$U419,"&gt;="&amp;LOOKUP(2,1/($T$20:$T419="H")),$V$20:$V419,"&lt;=$"&amp;V419)</f>
        <v>0</v>
      </c>
    </row>
    <row r="420" spans="24:24" x14ac:dyDescent="0.2">
      <c r="X420" s="32">
        <f>_xlfn.MAXIFS($U$20:$U420,$T$20:$T420,"H",$U$20:$U420,"&gt;="&amp;LOOKUP(2,1/($T$20:$T420="H")),$V$20:$V420,"&lt;=$"&amp;V420)</f>
        <v>0</v>
      </c>
    </row>
    <row r="421" spans="24:24" x14ac:dyDescent="0.2">
      <c r="X421" s="32">
        <f>_xlfn.MAXIFS($U$20:$U421,$T$20:$T421,"H",$U$20:$U421,"&gt;="&amp;LOOKUP(2,1/($T$20:$T421="H")),$V$20:$V421,"&lt;=$"&amp;V421)</f>
        <v>0</v>
      </c>
    </row>
    <row r="422" spans="24:24" x14ac:dyDescent="0.2">
      <c r="X422" s="32">
        <f>_xlfn.MAXIFS($U$20:$U422,$T$20:$T422,"H",$U$20:$U422,"&gt;="&amp;LOOKUP(2,1/($T$20:$T422="H")),$V$20:$V422,"&lt;=$"&amp;V422)</f>
        <v>0</v>
      </c>
    </row>
    <row r="423" spans="24:24" x14ac:dyDescent="0.2">
      <c r="X423" s="32">
        <f>_xlfn.MAXIFS($U$20:$U423,$T$20:$T423,"H",$U$20:$U423,"&gt;="&amp;LOOKUP(2,1/($T$20:$T423="H")),$V$20:$V423,"&lt;=$"&amp;V423)</f>
        <v>0</v>
      </c>
    </row>
    <row r="424" spans="24:24" x14ac:dyDescent="0.2">
      <c r="X424" s="32">
        <f>_xlfn.MAXIFS($U$20:$U424,$T$20:$T424,"H",$U$20:$U424,"&gt;="&amp;LOOKUP(2,1/($T$20:$T424="H")),$V$20:$V424,"&lt;=$"&amp;V424)</f>
        <v>0</v>
      </c>
    </row>
    <row r="425" spans="24:24" x14ac:dyDescent="0.2">
      <c r="X425" s="32">
        <f>_xlfn.MAXIFS($U$20:$U425,$T$20:$T425,"H",$U$20:$U425,"&gt;="&amp;LOOKUP(2,1/($T$20:$T425="H")),$V$20:$V425,"&lt;=$"&amp;V425)</f>
        <v>0</v>
      </c>
    </row>
    <row r="426" spans="24:24" x14ac:dyDescent="0.2">
      <c r="X426" s="32">
        <f>_xlfn.MAXIFS($U$20:$U426,$T$20:$T426,"H",$U$20:$U426,"&gt;="&amp;LOOKUP(2,1/($T$20:$T426="H")),$V$20:$V426,"&lt;=$"&amp;V426)</f>
        <v>0</v>
      </c>
    </row>
    <row r="427" spans="24:24" x14ac:dyDescent="0.2">
      <c r="X427" s="32">
        <f>_xlfn.MAXIFS($U$20:$U427,$T$20:$T427,"H",$U$20:$U427,"&gt;="&amp;LOOKUP(2,1/($T$20:$T427="H")),$V$20:$V427,"&lt;=$"&amp;V427)</f>
        <v>0</v>
      </c>
    </row>
    <row r="428" spans="24:24" x14ac:dyDescent="0.2">
      <c r="X428" s="32">
        <f>_xlfn.MAXIFS($U$20:$U428,$T$20:$T428,"H",$U$20:$U428,"&gt;="&amp;LOOKUP(2,1/($T$20:$T428="H")),$V$20:$V428,"&lt;=$"&amp;V428)</f>
        <v>0</v>
      </c>
    </row>
    <row r="429" spans="24:24" x14ac:dyDescent="0.2">
      <c r="X429" s="32">
        <f>_xlfn.MAXIFS($U$20:$U429,$T$20:$T429,"H",$U$20:$U429,"&gt;="&amp;LOOKUP(2,1/($T$20:$T429="H")),$V$20:$V429,"&lt;=$"&amp;V429)</f>
        <v>0</v>
      </c>
    </row>
    <row r="430" spans="24:24" x14ac:dyDescent="0.2">
      <c r="X430" s="32">
        <f>_xlfn.MAXIFS($U$20:$U430,$T$20:$T430,"H",$U$20:$U430,"&gt;="&amp;LOOKUP(2,1/($T$20:$T430="H")),$V$20:$V430,"&lt;=$"&amp;V430)</f>
        <v>0</v>
      </c>
    </row>
    <row r="431" spans="24:24" x14ac:dyDescent="0.2">
      <c r="X431" s="32">
        <f>_xlfn.MAXIFS($U$20:$U431,$T$20:$T431,"H",$U$20:$U431,"&gt;="&amp;LOOKUP(2,1/($T$20:$T431="H")),$V$20:$V431,"&lt;=$"&amp;V431)</f>
        <v>0</v>
      </c>
    </row>
    <row r="432" spans="24:24" x14ac:dyDescent="0.2">
      <c r="X432" s="32">
        <f>_xlfn.MAXIFS($U$20:$U432,$T$20:$T432,"H",$U$20:$U432,"&gt;="&amp;LOOKUP(2,1/($T$20:$T432="H")),$V$20:$V432,"&lt;=$"&amp;V432)</f>
        <v>0</v>
      </c>
    </row>
    <row r="433" spans="24:24" x14ac:dyDescent="0.2">
      <c r="X433" s="32">
        <f>_xlfn.MAXIFS($U$20:$U433,$T$20:$T433,"H",$U$20:$U433,"&gt;="&amp;LOOKUP(2,1/($T$20:$T433="H")),$V$20:$V433,"&lt;=$"&amp;V433)</f>
        <v>0</v>
      </c>
    </row>
    <row r="434" spans="24:24" x14ac:dyDescent="0.2">
      <c r="X434" s="32">
        <f>_xlfn.MAXIFS($U$20:$U434,$T$20:$T434,"H",$U$20:$U434,"&gt;="&amp;LOOKUP(2,1/($T$20:$T434="H")),$V$20:$V434,"&lt;=$"&amp;V434)</f>
        <v>0</v>
      </c>
    </row>
    <row r="435" spans="24:24" x14ac:dyDescent="0.2">
      <c r="X435" s="32">
        <f>_xlfn.MAXIFS($U$20:$U435,$T$20:$T435,"H",$U$20:$U435,"&gt;="&amp;LOOKUP(2,1/($T$20:$T435="H")),$V$20:$V435,"&lt;=$"&amp;V435)</f>
        <v>0</v>
      </c>
    </row>
    <row r="436" spans="24:24" x14ac:dyDescent="0.2">
      <c r="X436" s="32">
        <f>_xlfn.MAXIFS($U$20:$U436,$T$20:$T436,"H",$U$20:$U436,"&gt;="&amp;LOOKUP(2,1/($T$20:$T436="H")),$V$20:$V436,"&lt;=$"&amp;V436)</f>
        <v>0</v>
      </c>
    </row>
    <row r="437" spans="24:24" x14ac:dyDescent="0.2">
      <c r="X437" s="32">
        <f>_xlfn.MAXIFS($U$20:$U437,$T$20:$T437,"H",$U$20:$U437,"&gt;="&amp;LOOKUP(2,1/($T$20:$T437="H")),$V$20:$V437,"&lt;=$"&amp;V437)</f>
        <v>0</v>
      </c>
    </row>
    <row r="438" spans="24:24" x14ac:dyDescent="0.2">
      <c r="X438" s="32">
        <f>_xlfn.MAXIFS($U$20:$U438,$T$20:$T438,"H",$U$20:$U438,"&gt;="&amp;LOOKUP(2,1/($T$20:$T438="H")),$V$20:$V438,"&lt;=$"&amp;V438)</f>
        <v>0</v>
      </c>
    </row>
    <row r="439" spans="24:24" x14ac:dyDescent="0.2">
      <c r="X439" s="32">
        <f>_xlfn.MAXIFS($U$20:$U439,$T$20:$T439,"H",$U$20:$U439,"&gt;="&amp;LOOKUP(2,1/($T$20:$T439="H")),$V$20:$V439,"&lt;=$"&amp;V439)</f>
        <v>0</v>
      </c>
    </row>
    <row r="440" spans="24:24" x14ac:dyDescent="0.2">
      <c r="X440" s="32">
        <f>_xlfn.MAXIFS($U$20:$U440,$T$20:$T440,"H",$U$20:$U440,"&gt;="&amp;LOOKUP(2,1/($T$20:$T440="H")),$V$20:$V440,"&lt;=$"&amp;V440)</f>
        <v>0</v>
      </c>
    </row>
    <row r="441" spans="24:24" x14ac:dyDescent="0.2">
      <c r="X441" s="32">
        <f>_xlfn.MAXIFS($U$20:$U441,$T$20:$T441,"H",$U$20:$U441,"&gt;="&amp;LOOKUP(2,1/($T$20:$T441="H")),$V$20:$V441,"&lt;=$"&amp;V441)</f>
        <v>0</v>
      </c>
    </row>
    <row r="442" spans="24:24" x14ac:dyDescent="0.2">
      <c r="X442" s="32">
        <f>_xlfn.MAXIFS($U$20:$U442,$T$20:$T442,"H",$U$20:$U442,"&gt;="&amp;LOOKUP(2,1/($T$20:$T442="H")),$V$20:$V442,"&lt;=$"&amp;V442)</f>
        <v>0</v>
      </c>
    </row>
    <row r="443" spans="24:24" x14ac:dyDescent="0.2">
      <c r="X443" s="32">
        <f>_xlfn.MAXIFS($U$20:$U443,$T$20:$T443,"H",$U$20:$U443,"&gt;="&amp;LOOKUP(2,1/($T$20:$T443="H")),$V$20:$V443,"&lt;=$"&amp;V443)</f>
        <v>0</v>
      </c>
    </row>
    <row r="444" spans="24:24" x14ac:dyDescent="0.2">
      <c r="X444" s="32">
        <f>_xlfn.MAXIFS($U$20:$U444,$T$20:$T444,"H",$U$20:$U444,"&gt;="&amp;LOOKUP(2,1/($T$20:$T444="H")),$V$20:$V444,"&lt;=$"&amp;V444)</f>
        <v>0</v>
      </c>
    </row>
    <row r="445" spans="24:24" x14ac:dyDescent="0.2">
      <c r="X445" s="32">
        <f>_xlfn.MAXIFS($U$20:$U445,$T$20:$T445,"H",$U$20:$U445,"&gt;="&amp;LOOKUP(2,1/($T$20:$T445="H")),$V$20:$V445,"&lt;=$"&amp;V445)</f>
        <v>0</v>
      </c>
    </row>
    <row r="446" spans="24:24" x14ac:dyDescent="0.2">
      <c r="X446" s="32">
        <f>_xlfn.MAXIFS($U$20:$U446,$T$20:$T446,"H",$U$20:$U446,"&gt;="&amp;LOOKUP(2,1/($T$20:$T446="H")),$V$20:$V446,"&lt;=$"&amp;V446)</f>
        <v>0</v>
      </c>
    </row>
    <row r="447" spans="24:24" x14ac:dyDescent="0.2">
      <c r="X447" s="32">
        <f>_xlfn.MAXIFS($U$20:$U447,$T$20:$T447,"H",$U$20:$U447,"&gt;="&amp;LOOKUP(2,1/($T$20:$T447="H")),$V$20:$V447,"&lt;=$"&amp;V447)</f>
        <v>0</v>
      </c>
    </row>
    <row r="448" spans="24:24" x14ac:dyDescent="0.2">
      <c r="X448" s="32">
        <f>_xlfn.MAXIFS($U$20:$U448,$T$20:$T448,"H",$U$20:$U448,"&gt;="&amp;LOOKUP(2,1/($T$20:$T448="H")),$V$20:$V448,"&lt;=$"&amp;V448)</f>
        <v>0</v>
      </c>
    </row>
    <row r="449" spans="24:24" x14ac:dyDescent="0.2">
      <c r="X449" s="32">
        <f>_xlfn.MAXIFS($U$20:$U449,$T$20:$T449,"H",$U$20:$U449,"&gt;="&amp;LOOKUP(2,1/($T$20:$T449="H")),$V$20:$V449,"&lt;=$"&amp;V449)</f>
        <v>0</v>
      </c>
    </row>
    <row r="450" spans="24:24" x14ac:dyDescent="0.2">
      <c r="X450" s="32">
        <f>_xlfn.MAXIFS($U$20:$U450,$T$20:$T450,"H",$U$20:$U450,"&gt;="&amp;LOOKUP(2,1/($T$20:$T450="H")),$V$20:$V450,"&lt;=$"&amp;V450)</f>
        <v>0</v>
      </c>
    </row>
    <row r="451" spans="24:24" x14ac:dyDescent="0.2">
      <c r="X451" s="32">
        <f>_xlfn.MAXIFS($U$20:$U451,$T$20:$T451,"H",$U$20:$U451,"&gt;="&amp;LOOKUP(2,1/($T$20:$T451="H")),$V$20:$V451,"&lt;=$"&amp;V451)</f>
        <v>0</v>
      </c>
    </row>
    <row r="452" spans="24:24" x14ac:dyDescent="0.2">
      <c r="X452" s="32">
        <f>_xlfn.MAXIFS($U$20:$U452,$T$20:$T452,"H",$U$20:$U452,"&gt;="&amp;LOOKUP(2,1/($T$20:$T452="H")),$V$20:$V452,"&lt;=$"&amp;V452)</f>
        <v>0</v>
      </c>
    </row>
    <row r="453" spans="24:24" x14ac:dyDescent="0.2">
      <c r="X453" s="32">
        <f>_xlfn.MAXIFS($U$20:$U453,$T$20:$T453,"H",$U$20:$U453,"&gt;="&amp;LOOKUP(2,1/($T$20:$T453="H")),$V$20:$V453,"&lt;=$"&amp;V453)</f>
        <v>0</v>
      </c>
    </row>
    <row r="454" spans="24:24" x14ac:dyDescent="0.2">
      <c r="X454" s="32">
        <f>_xlfn.MAXIFS($U$20:$U454,$T$20:$T454,"H",$U$20:$U454,"&gt;="&amp;LOOKUP(2,1/($T$20:$T454="H")),$V$20:$V454,"&lt;=$"&amp;V454)</f>
        <v>0</v>
      </c>
    </row>
    <row r="455" spans="24:24" x14ac:dyDescent="0.2">
      <c r="X455" s="32">
        <f>_xlfn.MAXIFS($U$20:$U455,$T$20:$T455,"H",$U$20:$U455,"&gt;="&amp;LOOKUP(2,1/($T$20:$T455="H")),$V$20:$V455,"&lt;=$"&amp;V455)</f>
        <v>0</v>
      </c>
    </row>
    <row r="456" spans="24:24" x14ac:dyDescent="0.2">
      <c r="X456" s="32">
        <f>_xlfn.MAXIFS($U$20:$U456,$T$20:$T456,"H",$U$20:$U456,"&gt;="&amp;LOOKUP(2,1/($T$20:$T456="H")),$V$20:$V456,"&lt;=$"&amp;V456)</f>
        <v>0</v>
      </c>
    </row>
    <row r="457" spans="24:24" x14ac:dyDescent="0.2">
      <c r="X457" s="32">
        <f>_xlfn.MAXIFS($U$20:$U457,$T$20:$T457,"H",$U$20:$U457,"&gt;="&amp;LOOKUP(2,1/($T$20:$T457="H")),$V$20:$V457,"&lt;=$"&amp;V457)</f>
        <v>0</v>
      </c>
    </row>
    <row r="458" spans="24:24" x14ac:dyDescent="0.2">
      <c r="X458" s="32">
        <f>_xlfn.MAXIFS($U$20:$U458,$T$20:$T458,"H",$U$20:$U458,"&gt;="&amp;LOOKUP(2,1/($T$20:$T458="H")),$V$20:$V458,"&lt;=$"&amp;V458)</f>
        <v>0</v>
      </c>
    </row>
    <row r="459" spans="24:24" x14ac:dyDescent="0.2">
      <c r="X459" s="32">
        <f>_xlfn.MAXIFS($U$20:$U459,$T$20:$T459,"H",$U$20:$U459,"&gt;="&amp;LOOKUP(2,1/($T$20:$T459="H")),$V$20:$V459,"&lt;=$"&amp;V459)</f>
        <v>0</v>
      </c>
    </row>
    <row r="460" spans="24:24" x14ac:dyDescent="0.2">
      <c r="X460" s="32">
        <f>_xlfn.MAXIFS($U$20:$U460,$T$20:$T460,"H",$U$20:$U460,"&gt;="&amp;LOOKUP(2,1/($T$20:$T460="H")),$V$20:$V460,"&lt;=$"&amp;V460)</f>
        <v>0</v>
      </c>
    </row>
    <row r="461" spans="24:24" x14ac:dyDescent="0.2">
      <c r="X461" s="32">
        <f>_xlfn.MAXIFS($U$20:$U461,$T$20:$T461,"H",$U$20:$U461,"&gt;="&amp;LOOKUP(2,1/($T$20:$T461="H")),$V$20:$V461,"&lt;=$"&amp;V461)</f>
        <v>0</v>
      </c>
    </row>
    <row r="462" spans="24:24" x14ac:dyDescent="0.2">
      <c r="X462" s="32">
        <f>_xlfn.MAXIFS($U$20:$U462,$T$20:$T462,"H",$U$20:$U462,"&gt;="&amp;LOOKUP(2,1/($T$20:$T462="H")),$V$20:$V462,"&lt;=$"&amp;V462)</f>
        <v>0</v>
      </c>
    </row>
    <row r="463" spans="24:24" x14ac:dyDescent="0.2">
      <c r="X463" s="32">
        <f>_xlfn.MAXIFS($U$20:$U463,$T$20:$T463,"H",$U$20:$U463,"&gt;="&amp;LOOKUP(2,1/($T$20:$T463="H")),$V$20:$V463,"&lt;=$"&amp;V463)</f>
        <v>0</v>
      </c>
    </row>
    <row r="464" spans="24:24" x14ac:dyDescent="0.2">
      <c r="X464" s="32">
        <f>_xlfn.MAXIFS($U$20:$U464,$T$20:$T464,"H",$U$20:$U464,"&gt;="&amp;LOOKUP(2,1/($T$20:$T464="H")),$V$20:$V464,"&lt;=$"&amp;V464)</f>
        <v>0</v>
      </c>
    </row>
    <row r="465" spans="24:24" x14ac:dyDescent="0.2">
      <c r="X465" s="32">
        <f>_xlfn.MAXIFS($U$20:$U465,$T$20:$T465,"H",$U$20:$U465,"&gt;="&amp;LOOKUP(2,1/($T$20:$T465="H")),$V$20:$V465,"&lt;=$"&amp;V465)</f>
        <v>0</v>
      </c>
    </row>
    <row r="466" spans="24:24" x14ac:dyDescent="0.2">
      <c r="X466" s="32">
        <f>_xlfn.MAXIFS($U$20:$U466,$T$20:$T466,"H",$U$20:$U466,"&gt;="&amp;LOOKUP(2,1/($T$20:$T466="H")),$V$20:$V466,"&lt;=$"&amp;V466)</f>
        <v>0</v>
      </c>
    </row>
    <row r="467" spans="24:24" x14ac:dyDescent="0.2">
      <c r="X467" s="32">
        <f>_xlfn.MAXIFS($U$20:$U467,$T$20:$T467,"H",$U$20:$U467,"&gt;="&amp;LOOKUP(2,1/($T$20:$T467="H")),$V$20:$V467,"&lt;=$"&amp;V467)</f>
        <v>0</v>
      </c>
    </row>
    <row r="468" spans="24:24" x14ac:dyDescent="0.2">
      <c r="X468" s="32">
        <f>_xlfn.MAXIFS($U$20:$U468,$T$20:$T468,"H",$U$20:$U468,"&gt;="&amp;LOOKUP(2,1/($T$20:$T468="H")),$V$20:$V468,"&lt;=$"&amp;V468)</f>
        <v>0</v>
      </c>
    </row>
    <row r="469" spans="24:24" x14ac:dyDescent="0.2">
      <c r="X469" s="32">
        <f>_xlfn.MAXIFS($U$20:$U469,$T$20:$T469,"H",$U$20:$U469,"&gt;="&amp;LOOKUP(2,1/($T$20:$T469="H")),$V$20:$V469,"&lt;=$"&amp;V469)</f>
        <v>0</v>
      </c>
    </row>
    <row r="470" spans="24:24" x14ac:dyDescent="0.2">
      <c r="X470" s="32">
        <f>_xlfn.MAXIFS($U$20:$U470,$T$20:$T470,"H",$U$20:$U470,"&gt;="&amp;LOOKUP(2,1/($T$20:$T470="H")),$V$20:$V470,"&lt;=$"&amp;V470)</f>
        <v>0</v>
      </c>
    </row>
    <row r="471" spans="24:24" x14ac:dyDescent="0.2">
      <c r="X471" s="32">
        <f>_xlfn.MAXIFS($U$20:$U471,$T$20:$T471,"H",$U$20:$U471,"&gt;="&amp;LOOKUP(2,1/($T$20:$T471="H")),$V$20:$V471,"&lt;=$"&amp;V471)</f>
        <v>0</v>
      </c>
    </row>
    <row r="472" spans="24:24" x14ac:dyDescent="0.2">
      <c r="X472" s="32">
        <f>_xlfn.MAXIFS($U$20:$U472,$T$20:$T472,"H",$U$20:$U472,"&gt;="&amp;LOOKUP(2,1/($T$20:$T472="H")),$V$20:$V472,"&lt;=$"&amp;V472)</f>
        <v>0</v>
      </c>
    </row>
    <row r="473" spans="24:24" x14ac:dyDescent="0.2">
      <c r="X473" s="32">
        <f>_xlfn.MAXIFS($U$20:$U473,$T$20:$T473,"H",$U$20:$U473,"&gt;="&amp;LOOKUP(2,1/($T$20:$T473="H")),$V$20:$V473,"&lt;=$"&amp;V473)</f>
        <v>0</v>
      </c>
    </row>
    <row r="474" spans="24:24" x14ac:dyDescent="0.2">
      <c r="X474" s="32">
        <f>_xlfn.MAXIFS($U$20:$U474,$T$20:$T474,"H",$U$20:$U474,"&gt;="&amp;LOOKUP(2,1/($T$20:$T474="H")),$V$20:$V474,"&lt;=$"&amp;V474)</f>
        <v>0</v>
      </c>
    </row>
    <row r="475" spans="24:24" x14ac:dyDescent="0.2">
      <c r="X475" s="32">
        <f>_xlfn.MAXIFS($U$20:$U475,$T$20:$T475,"H",$U$20:$U475,"&gt;="&amp;LOOKUP(2,1/($T$20:$T475="H")),$V$20:$V475,"&lt;=$"&amp;V475)</f>
        <v>0</v>
      </c>
    </row>
    <row r="476" spans="24:24" x14ac:dyDescent="0.2">
      <c r="X476" s="32">
        <f>_xlfn.MAXIFS($U$20:$U476,$T$20:$T476,"H",$U$20:$U476,"&gt;="&amp;LOOKUP(2,1/($T$20:$T476="H")),$V$20:$V476,"&lt;=$"&amp;V476)</f>
        <v>0</v>
      </c>
    </row>
    <row r="477" spans="24:24" x14ac:dyDescent="0.2">
      <c r="X477" s="32">
        <f>_xlfn.MAXIFS($U$20:$U477,$T$20:$T477,"H",$U$20:$U477,"&gt;="&amp;LOOKUP(2,1/($T$20:$T477="H")),$V$20:$V477,"&lt;=$"&amp;V477)</f>
        <v>0</v>
      </c>
    </row>
    <row r="478" spans="24:24" x14ac:dyDescent="0.2">
      <c r="X478" s="32">
        <f>_xlfn.MAXIFS($U$20:$U478,$T$20:$T478,"H",$U$20:$U478,"&gt;="&amp;LOOKUP(2,1/($T$20:$T478="H")),$V$20:$V478,"&lt;=$"&amp;V478)</f>
        <v>0</v>
      </c>
    </row>
    <row r="479" spans="24:24" x14ac:dyDescent="0.2">
      <c r="X479" s="32">
        <f>_xlfn.MAXIFS($U$20:$U479,$T$20:$T479,"H",$U$20:$U479,"&gt;="&amp;LOOKUP(2,1/($T$20:$T479="H")),$V$20:$V479,"&lt;=$"&amp;V479)</f>
        <v>0</v>
      </c>
    </row>
    <row r="480" spans="24:24" x14ac:dyDescent="0.2">
      <c r="X480" s="32">
        <f>_xlfn.MAXIFS($U$20:$U480,$T$20:$T480,"H",$U$20:$U480,"&gt;="&amp;LOOKUP(2,1/($T$20:$T480="H")),$V$20:$V480,"&lt;=$"&amp;V480)</f>
        <v>0</v>
      </c>
    </row>
    <row r="481" spans="24:24" x14ac:dyDescent="0.2">
      <c r="X481" s="32">
        <f>_xlfn.MAXIFS($U$20:$U481,$T$20:$T481,"H",$U$20:$U481,"&gt;="&amp;LOOKUP(2,1/($T$20:$T481="H")),$V$20:$V481,"&lt;=$"&amp;V481)</f>
        <v>0</v>
      </c>
    </row>
    <row r="482" spans="24:24" x14ac:dyDescent="0.2">
      <c r="X482" s="32">
        <f>_xlfn.MAXIFS($U$20:$U482,$T$20:$T482,"H",$U$20:$U482,"&gt;="&amp;LOOKUP(2,1/($T$20:$T482="H")),$V$20:$V482,"&lt;=$"&amp;V482)</f>
        <v>0</v>
      </c>
    </row>
    <row r="483" spans="24:24" x14ac:dyDescent="0.2">
      <c r="X483" s="32">
        <f>_xlfn.MAXIFS($U$20:$U483,$T$20:$T483,"H",$U$20:$U483,"&gt;="&amp;LOOKUP(2,1/($T$20:$T483="H")),$V$20:$V483,"&lt;=$"&amp;V483)</f>
        <v>0</v>
      </c>
    </row>
    <row r="484" spans="24:24" x14ac:dyDescent="0.2">
      <c r="X484" s="32">
        <f>_xlfn.MAXIFS($U$20:$U484,$T$20:$T484,"H",$U$20:$U484,"&gt;="&amp;LOOKUP(2,1/($T$20:$T484="H")),$V$20:$V484,"&lt;=$"&amp;V484)</f>
        <v>0</v>
      </c>
    </row>
    <row r="485" spans="24:24" x14ac:dyDescent="0.2">
      <c r="X485" s="32">
        <f>_xlfn.MAXIFS($U$20:$U485,$T$20:$T485,"H",$U$20:$U485,"&gt;="&amp;LOOKUP(2,1/($T$20:$T485="H")),$V$20:$V485,"&lt;=$"&amp;V485)</f>
        <v>0</v>
      </c>
    </row>
    <row r="486" spans="24:24" x14ac:dyDescent="0.2">
      <c r="X486" s="32">
        <f>_xlfn.MAXIFS($U$20:$U486,$T$20:$T486,"H",$U$20:$U486,"&gt;="&amp;LOOKUP(2,1/($T$20:$T486="H")),$V$20:$V486,"&lt;=$"&amp;V486)</f>
        <v>0</v>
      </c>
    </row>
    <row r="487" spans="24:24" x14ac:dyDescent="0.2">
      <c r="X487" s="32">
        <f>_xlfn.MAXIFS($U$20:$U487,$T$20:$T487,"H",$U$20:$U487,"&gt;="&amp;LOOKUP(2,1/($T$20:$T487="H")),$V$20:$V487,"&lt;=$"&amp;V487)</f>
        <v>0</v>
      </c>
    </row>
    <row r="488" spans="24:24" x14ac:dyDescent="0.2">
      <c r="X488" s="32">
        <f>_xlfn.MAXIFS($U$20:$U488,$T$20:$T488,"H",$U$20:$U488,"&gt;="&amp;LOOKUP(2,1/($T$20:$T488="H")),$V$20:$V488,"&lt;=$"&amp;V488)</f>
        <v>0</v>
      </c>
    </row>
    <row r="489" spans="24:24" x14ac:dyDescent="0.2">
      <c r="X489" s="32">
        <f>_xlfn.MAXIFS($U$20:$U489,$T$20:$T489,"H",$U$20:$U489,"&gt;="&amp;LOOKUP(2,1/($T$20:$T489="H")),$V$20:$V489,"&lt;=$"&amp;V489)</f>
        <v>0</v>
      </c>
    </row>
    <row r="490" spans="24:24" x14ac:dyDescent="0.2">
      <c r="X490" s="32">
        <f>_xlfn.MAXIFS($U$20:$U490,$T$20:$T490,"H",$U$20:$U490,"&gt;="&amp;LOOKUP(2,1/($T$20:$T490="H")),$V$20:$V490,"&lt;=$"&amp;V490)</f>
        <v>0</v>
      </c>
    </row>
    <row r="491" spans="24:24" x14ac:dyDescent="0.2">
      <c r="X491" s="32">
        <f>_xlfn.MAXIFS($U$20:$U491,$T$20:$T491,"H",$U$20:$U491,"&gt;="&amp;LOOKUP(2,1/($T$20:$T491="H")),$V$20:$V491,"&lt;=$"&amp;V491)</f>
        <v>0</v>
      </c>
    </row>
    <row r="492" spans="24:24" x14ac:dyDescent="0.2">
      <c r="X492" s="32">
        <f>_xlfn.MAXIFS($U$20:$U492,$T$20:$T492,"H",$U$20:$U492,"&gt;="&amp;LOOKUP(2,1/($T$20:$T492="H")),$V$20:$V492,"&lt;=$"&amp;V492)</f>
        <v>0</v>
      </c>
    </row>
    <row r="493" spans="24:24" x14ac:dyDescent="0.2">
      <c r="X493" s="32">
        <f>_xlfn.MAXIFS($U$20:$U493,$T$20:$T493,"H",$U$20:$U493,"&gt;="&amp;LOOKUP(2,1/($T$20:$T493="H")),$V$20:$V493,"&lt;=$"&amp;V493)</f>
        <v>0</v>
      </c>
    </row>
    <row r="494" spans="24:24" x14ac:dyDescent="0.2">
      <c r="X494" s="32">
        <f>_xlfn.MAXIFS($U$20:$U494,$T$20:$T494,"H",$U$20:$U494,"&gt;="&amp;LOOKUP(2,1/($T$20:$T494="H")),$V$20:$V494,"&lt;=$"&amp;V494)</f>
        <v>0</v>
      </c>
    </row>
    <row r="495" spans="24:24" x14ac:dyDescent="0.2">
      <c r="X495" s="32">
        <f>_xlfn.MAXIFS($U$20:$U495,$T$20:$T495,"H",$U$20:$U495,"&gt;="&amp;LOOKUP(2,1/($T$20:$T495="H")),$V$20:$V495,"&lt;=$"&amp;V495)</f>
        <v>0</v>
      </c>
    </row>
    <row r="496" spans="24:24" x14ac:dyDescent="0.2">
      <c r="X496" s="32">
        <f>_xlfn.MAXIFS($U$20:$U496,$T$20:$T496,"H",$U$20:$U496,"&gt;="&amp;LOOKUP(2,1/($T$20:$T496="H")),$V$20:$V496,"&lt;=$"&amp;V496)</f>
        <v>0</v>
      </c>
    </row>
    <row r="497" spans="24:24" x14ac:dyDescent="0.2">
      <c r="X497" s="32">
        <f>_xlfn.MAXIFS($U$20:$U497,$T$20:$T497,"H",$U$20:$U497,"&gt;="&amp;LOOKUP(2,1/($T$20:$T497="H")),$V$20:$V497,"&lt;=$"&amp;V497)</f>
        <v>0</v>
      </c>
    </row>
    <row r="498" spans="24:24" x14ac:dyDescent="0.2">
      <c r="X498" s="32">
        <f>_xlfn.MAXIFS($U$20:$U498,$T$20:$T498,"H",$U$20:$U498,"&gt;="&amp;LOOKUP(2,1/($T$20:$T498="H")),$V$20:$V498,"&lt;=$"&amp;V498)</f>
        <v>0</v>
      </c>
    </row>
    <row r="499" spans="24:24" x14ac:dyDescent="0.2">
      <c r="X499" s="32">
        <f>_xlfn.MAXIFS($U$20:$U499,$T$20:$T499,"H",$U$20:$U499,"&gt;="&amp;LOOKUP(2,1/($T$20:$T499="H")),$V$20:$V499,"&lt;=$"&amp;V499)</f>
        <v>0</v>
      </c>
    </row>
    <row r="500" spans="24:24" x14ac:dyDescent="0.2">
      <c r="X500" s="32">
        <f>_xlfn.MAXIFS($U$20:$U500,$T$20:$T500,"H",$U$20:$U500,"&gt;="&amp;LOOKUP(2,1/($T$20:$T500="H")),$V$20:$V500,"&lt;=$"&amp;V500)</f>
        <v>0</v>
      </c>
    </row>
  </sheetData>
  <mergeCells count="1">
    <mergeCell ref="D1:K1"/>
  </mergeCells>
  <conditionalFormatting sqref="B20:N20">
    <cfRule type="expression" dxfId="35" priority="17">
      <formula>$T20="T"</formula>
    </cfRule>
  </conditionalFormatting>
  <conditionalFormatting sqref="O20">
    <cfRule type="expression" dxfId="34" priority="16">
      <formula>$T20="T"</formula>
    </cfRule>
  </conditionalFormatting>
  <conditionalFormatting sqref="P20">
    <cfRule type="expression" dxfId="33" priority="15">
      <formula>$T20="T"</formula>
    </cfRule>
  </conditionalFormatting>
  <conditionalFormatting sqref="O20:P20">
    <cfRule type="expression" dxfId="32" priority="14">
      <formula>$T20="T"</formula>
    </cfRule>
  </conditionalFormatting>
  <conditionalFormatting sqref="B20">
    <cfRule type="expression" dxfId="31" priority="3">
      <formula>$T20="T"</formula>
    </cfRule>
  </conditionalFormatting>
  <conditionalFormatting sqref="D21">
    <cfRule type="expression" dxfId="30" priority="20">
      <formula>$T21="T"</formula>
    </cfRule>
  </conditionalFormatting>
  <conditionalFormatting sqref="S20">
    <cfRule type="expression" dxfId="29" priority="19">
      <formula>$T20="T"</formula>
    </cfRule>
  </conditionalFormatting>
  <conditionalFormatting sqref="C20:N20">
    <cfRule type="expression" dxfId="28" priority="5">
      <formula>$T20="T"</formula>
    </cfRule>
  </conditionalFormatting>
  <conditionalFormatting sqref="E22:N22 N21 BK20">
    <cfRule type="expression" dxfId="27" priority="23">
      <formula>$T20="T"</formula>
    </cfRule>
  </conditionalFormatting>
  <conditionalFormatting sqref="C21">
    <cfRule type="expression" dxfId="26" priority="22">
      <formula>$T21="T"</formula>
    </cfRule>
  </conditionalFormatting>
  <conditionalFormatting sqref="E22:N22 N21">
    <cfRule type="expression" dxfId="25" priority="21">
      <formula>$T23="T"</formula>
    </cfRule>
  </conditionalFormatting>
  <conditionalFormatting sqref="N21">
    <cfRule type="expression" dxfId="24" priority="24">
      <formula>$T25="T"</formula>
    </cfRule>
  </conditionalFormatting>
  <conditionalFormatting sqref="Q22">
    <cfRule type="expression" dxfId="23" priority="18">
      <formula>$T22="T"</formula>
    </cfRule>
  </conditionalFormatting>
  <conditionalFormatting sqref="R20">
    <cfRule type="expression" dxfId="22" priority="13">
      <formula>$T20="T"</formula>
    </cfRule>
  </conditionalFormatting>
  <conditionalFormatting sqref="R20">
    <cfRule type="expression" dxfId="21" priority="12">
      <formula>$T20="T"</formula>
    </cfRule>
  </conditionalFormatting>
  <conditionalFormatting sqref="Q20">
    <cfRule type="expression" dxfId="20" priority="11">
      <formula>$T20="T"</formula>
    </cfRule>
  </conditionalFormatting>
  <conditionalFormatting sqref="Q20">
    <cfRule type="expression" dxfId="19" priority="10">
      <formula>$T20="T"</formula>
    </cfRule>
  </conditionalFormatting>
  <conditionalFormatting sqref="C20:D20">
    <cfRule type="expression" dxfId="18" priority="4">
      <formula>$T22="T"</formula>
    </cfRule>
  </conditionalFormatting>
  <conditionalFormatting sqref="D20">
    <cfRule type="expression" dxfId="17" priority="6">
      <formula>$T24="T"</formula>
    </cfRule>
  </conditionalFormatting>
  <conditionalFormatting sqref="E20:N20">
    <cfRule type="expression" dxfId="16" priority="7">
      <formula>$T21="T"</formula>
    </cfRule>
  </conditionalFormatting>
  <conditionalFormatting sqref="E20:N20">
    <cfRule type="expression" dxfId="15" priority="8">
      <formula>$T23="T"</formula>
    </cfRule>
  </conditionalFormatting>
  <conditionalFormatting sqref="E20:N20">
    <cfRule type="expression" dxfId="14" priority="9">
      <formula>$T25="T"</formula>
    </cfRule>
  </conditionalFormatting>
  <conditionalFormatting sqref="E20:N20">
    <cfRule type="expression" dxfId="13" priority="1">
      <formula>$T22="T"</formula>
    </cfRule>
  </conditionalFormatting>
  <conditionalFormatting sqref="E20:N20">
    <cfRule type="expression" dxfId="12" priority="2">
      <formula>$T24="T"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08C0-ADF0-46CD-959E-6C019E1A0FE7}">
  <sheetPr codeName="Sheet1">
    <tabColor rgb="FFFFFF00"/>
    <pageSetUpPr fitToPage="1"/>
  </sheetPr>
  <dimension ref="A1:CQ515"/>
  <sheetViews>
    <sheetView showGridLines="0" zoomScale="70" zoomScaleNormal="70" zoomScalePageLayoutView="85" workbookViewId="0"/>
  </sheetViews>
  <sheetFormatPr baseColWidth="10" defaultColWidth="11.5" defaultRowHeight="15" x14ac:dyDescent="0.2"/>
  <cols>
    <col min="1" max="1" width="10.1640625" style="1" customWidth="1"/>
    <col min="2" max="2" width="41.83203125" style="1" customWidth="1"/>
    <col min="3" max="3" width="16.33203125" customWidth="1"/>
    <col min="4" max="4" width="16.1640625" customWidth="1"/>
    <col min="5" max="5" width="16" customWidth="1"/>
    <col min="6" max="6" width="16.33203125" customWidth="1"/>
    <col min="7" max="7" width="15.83203125" customWidth="1"/>
    <col min="8" max="10" width="15.5" customWidth="1"/>
    <col min="11" max="12" width="15.6640625" customWidth="1"/>
    <col min="13" max="13" width="16.1640625" customWidth="1"/>
    <col min="14" max="14" width="16" customWidth="1"/>
    <col min="15" max="15" width="16.5" customWidth="1"/>
    <col min="16" max="16" width="17.1640625" customWidth="1"/>
    <col min="17" max="17" width="16.1640625" hidden="1" customWidth="1"/>
    <col min="18" max="18" width="17.33203125" hidden="1" customWidth="1"/>
    <col min="19" max="19" width="21.1640625" hidden="1" customWidth="1"/>
    <col min="20" max="21" width="11.5" hidden="1" customWidth="1"/>
    <col min="22" max="22" width="0.1640625" hidden="1" customWidth="1"/>
    <col min="23" max="23" width="14.5" hidden="1" customWidth="1"/>
    <col min="24" max="24" width="14" hidden="1" customWidth="1"/>
    <col min="25" max="95" width="11.5" hidden="1" customWidth="1"/>
  </cols>
  <sheetData>
    <row r="1" spans="1:24" s="12" customFormat="1" ht="33" customHeight="1" x14ac:dyDescent="0.2">
      <c r="A1" s="15"/>
      <c r="B1" s="2"/>
      <c r="C1" s="2"/>
      <c r="D1" s="90" t="s">
        <v>3</v>
      </c>
      <c r="E1" s="90"/>
      <c r="F1" s="90"/>
      <c r="G1" s="90"/>
      <c r="H1" s="90"/>
      <c r="I1" s="90"/>
      <c r="J1" s="90"/>
      <c r="K1" s="90"/>
      <c r="L1" s="2"/>
      <c r="M1" s="2"/>
      <c r="N1" s="2"/>
      <c r="O1" s="16"/>
      <c r="P1" s="2"/>
      <c r="Q1" s="17"/>
      <c r="R1" s="18"/>
    </row>
    <row r="2" spans="1:24" s="12" customFormat="1" ht="33" customHeight="1" x14ac:dyDescent="0.2">
      <c r="A2" s="15"/>
      <c r="B2" s="2"/>
      <c r="C2" s="2"/>
      <c r="D2" s="86"/>
      <c r="E2" s="86"/>
      <c r="F2" s="86"/>
      <c r="G2" s="86"/>
      <c r="H2" s="86"/>
      <c r="I2" s="86"/>
      <c r="J2" s="86"/>
      <c r="K2" s="86"/>
      <c r="L2" s="2"/>
      <c r="M2" s="2"/>
      <c r="N2" s="2"/>
      <c r="O2" s="16"/>
      <c r="P2" s="2"/>
      <c r="Q2" s="17"/>
      <c r="R2" s="18"/>
    </row>
    <row r="3" spans="1:24" s="12" customFormat="1" ht="33" hidden="1" customHeight="1" x14ac:dyDescent="0.2">
      <c r="A3" s="15"/>
      <c r="B3" s="2"/>
      <c r="C3" s="2"/>
      <c r="D3" s="86"/>
      <c r="E3" s="86"/>
      <c r="F3" s="86"/>
      <c r="G3" s="86"/>
      <c r="H3" s="86"/>
      <c r="I3" s="86"/>
      <c r="J3" s="86"/>
      <c r="K3" s="86"/>
      <c r="L3" s="2"/>
      <c r="M3" s="2"/>
      <c r="N3" s="2"/>
      <c r="O3" s="16"/>
      <c r="P3" s="2"/>
      <c r="Q3" s="17"/>
      <c r="R3" s="18"/>
    </row>
    <row r="4" spans="1:24" s="12" customFormat="1" ht="33" hidden="1" customHeight="1" x14ac:dyDescent="0.2">
      <c r="A4" s="15"/>
      <c r="B4" s="2"/>
      <c r="C4" s="2"/>
      <c r="D4" s="86"/>
      <c r="E4" s="86"/>
      <c r="F4" s="86"/>
      <c r="G4" s="86"/>
      <c r="H4" s="86"/>
      <c r="I4" s="86"/>
      <c r="J4" s="86"/>
      <c r="K4" s="86"/>
      <c r="L4" s="2"/>
      <c r="M4" s="2"/>
      <c r="N4" s="2"/>
      <c r="O4" s="16"/>
      <c r="P4" s="2"/>
      <c r="Q4" s="17"/>
      <c r="R4" s="18"/>
    </row>
    <row r="5" spans="1:24" s="12" customFormat="1" ht="33" hidden="1" customHeight="1" x14ac:dyDescent="0.2">
      <c r="A5" s="15"/>
      <c r="B5" s="2"/>
      <c r="C5" s="2"/>
      <c r="D5" s="86"/>
      <c r="E5" s="86"/>
      <c r="F5" s="86"/>
      <c r="G5" s="86"/>
      <c r="H5" s="86"/>
      <c r="I5" s="86"/>
      <c r="J5" s="86"/>
      <c r="K5" s="86"/>
      <c r="L5" s="2"/>
      <c r="M5" s="2"/>
      <c r="N5" s="2"/>
      <c r="O5" s="16"/>
      <c r="P5" s="2"/>
      <c r="Q5" s="17"/>
      <c r="R5" s="18"/>
      <c r="X5" s="12">
        <f>_xlfn.MAXIFS($U5:$U$20,$T5:$T$20,"H",$U5:$U$20,"&gt;="&amp;LOOKUP(2,1/($T5:$T$20="H")),$V5:$V$20,"&lt;=$"&amp;V5)</f>
        <v>0</v>
      </c>
    </row>
    <row r="6" spans="1:24" s="12" customFormat="1" ht="33" hidden="1" customHeight="1" x14ac:dyDescent="0.2">
      <c r="A6" s="15"/>
      <c r="B6" s="2"/>
      <c r="C6" s="2"/>
      <c r="D6" s="86"/>
      <c r="E6" s="86"/>
      <c r="F6" s="86"/>
      <c r="G6" s="86"/>
      <c r="H6" s="86"/>
      <c r="I6" s="86"/>
      <c r="J6" s="86"/>
      <c r="K6" s="86"/>
      <c r="L6" s="2"/>
      <c r="M6" s="2"/>
      <c r="N6" s="2"/>
      <c r="O6" s="16"/>
      <c r="P6" s="2"/>
      <c r="Q6" s="17"/>
      <c r="R6" s="18"/>
      <c r="X6" s="12">
        <f>_xlfn.MAXIFS($U6:$U$20,$T6:$T$20,"H",$U6:$U$20,"&gt;="&amp;LOOKUP(2,1/($T6:$T$20="H")),$V6:$V$20,"&lt;=$"&amp;V6)</f>
        <v>0</v>
      </c>
    </row>
    <row r="7" spans="1:24" s="12" customFormat="1" ht="33" hidden="1" customHeight="1" x14ac:dyDescent="0.2">
      <c r="A7" s="15"/>
      <c r="B7" s="2"/>
      <c r="C7" s="2"/>
      <c r="D7" s="86"/>
      <c r="E7" s="86"/>
      <c r="F7" s="86"/>
      <c r="G7" s="86"/>
      <c r="H7" s="86"/>
      <c r="I7" s="86"/>
      <c r="J7" s="86"/>
      <c r="K7" s="86"/>
      <c r="L7" s="2"/>
      <c r="M7" s="2"/>
      <c r="N7" s="2"/>
      <c r="O7" s="16"/>
      <c r="P7" s="2"/>
      <c r="Q7" s="17"/>
      <c r="R7" s="18"/>
      <c r="X7" s="12">
        <f>_xlfn.MAXIFS($U7:$U$20,$T7:$T$20,"H",$U7:$U$20,"&gt;="&amp;LOOKUP(2,1/($T7:$T$20="H")),$V7:$V$20,"&lt;=$"&amp;V7)</f>
        <v>0</v>
      </c>
    </row>
    <row r="8" spans="1:24" s="12" customFormat="1" ht="33" hidden="1" customHeight="1" x14ac:dyDescent="0.2">
      <c r="A8" s="15"/>
      <c r="B8" s="2"/>
      <c r="C8" s="2"/>
      <c r="D8" s="86"/>
      <c r="E8" s="86"/>
      <c r="F8" s="86"/>
      <c r="G8" s="86"/>
      <c r="H8" s="86"/>
      <c r="I8" s="86"/>
      <c r="J8" s="86"/>
      <c r="K8" s="86"/>
      <c r="L8" s="2"/>
      <c r="M8" s="2"/>
      <c r="N8" s="2"/>
      <c r="O8" s="16"/>
      <c r="P8" s="2"/>
      <c r="Q8" s="17"/>
      <c r="R8" s="18"/>
      <c r="X8" s="12">
        <f>_xlfn.MAXIFS($U8:$U$20,$T8:$T$20,"H",$U8:$U$20,"&gt;="&amp;LOOKUP(2,1/($T8:$T$20="H")),$V8:$V$20,"&lt;=$"&amp;V8)</f>
        <v>0</v>
      </c>
    </row>
    <row r="9" spans="1:24" s="12" customFormat="1" ht="33" hidden="1" customHeight="1" x14ac:dyDescent="0.2">
      <c r="A9" s="15"/>
      <c r="B9" s="2"/>
      <c r="C9" s="2"/>
      <c r="D9" s="86"/>
      <c r="E9" s="86"/>
      <c r="F9" s="86"/>
      <c r="G9" s="86"/>
      <c r="H9" s="86"/>
      <c r="I9" s="86"/>
      <c r="J9" s="86"/>
      <c r="K9" s="86"/>
      <c r="L9" s="2"/>
      <c r="M9" s="2"/>
      <c r="N9" s="2"/>
      <c r="O9" s="16"/>
      <c r="P9" s="2"/>
      <c r="Q9" s="17"/>
      <c r="R9" s="18"/>
      <c r="X9" s="12">
        <f>_xlfn.MAXIFS($U9:$U$20,$T9:$T$20,"H",$U9:$U$20,"&gt;="&amp;LOOKUP(2,1/($T9:$T$20="H")),$V9:$V$20,"&lt;=$"&amp;V9)</f>
        <v>0</v>
      </c>
    </row>
    <row r="10" spans="1:24" s="12" customFormat="1" ht="33" hidden="1" customHeight="1" x14ac:dyDescent="0.2">
      <c r="A10" s="15"/>
      <c r="B10" s="2"/>
      <c r="C10" s="2"/>
      <c r="D10" s="86"/>
      <c r="E10" s="86"/>
      <c r="F10" s="86"/>
      <c r="G10" s="86"/>
      <c r="H10" s="86"/>
      <c r="I10" s="86"/>
      <c r="J10" s="86"/>
      <c r="K10" s="86"/>
      <c r="L10" s="2"/>
      <c r="M10" s="2"/>
      <c r="N10" s="2"/>
      <c r="O10" s="16"/>
      <c r="P10" s="2"/>
      <c r="Q10" s="17"/>
      <c r="R10" s="18"/>
      <c r="X10" s="12">
        <f>_xlfn.MAXIFS($U10:$U$20,$T10:$T$20,"H",$U10:$U$20,"&gt;="&amp;LOOKUP(2,1/($T10:$T$20="H")),$V10:$V$20,"&lt;=$"&amp;V10)</f>
        <v>0</v>
      </c>
    </row>
    <row r="11" spans="1:24" s="12" customFormat="1" ht="33" hidden="1" customHeight="1" x14ac:dyDescent="0.2">
      <c r="A11" s="15"/>
      <c r="B11" s="2"/>
      <c r="C11" s="2"/>
      <c r="D11" s="86"/>
      <c r="E11" s="86"/>
      <c r="F11" s="86"/>
      <c r="G11" s="86"/>
      <c r="H11" s="86"/>
      <c r="I11" s="86"/>
      <c r="J11" s="86"/>
      <c r="K11" s="86"/>
      <c r="L11" s="2"/>
      <c r="M11" s="2"/>
      <c r="N11" s="2"/>
      <c r="O11" s="16"/>
      <c r="P11" s="2"/>
      <c r="Q11" s="17"/>
      <c r="R11" s="18"/>
      <c r="X11" s="12">
        <f>_xlfn.MAXIFS($U11:$U$20,$T11:$T$20,"H",$U11:$U$20,"&gt;="&amp;LOOKUP(2,1/($T11:$T$20="H")),$V11:$V$20,"&lt;=$"&amp;V11)</f>
        <v>0</v>
      </c>
    </row>
    <row r="12" spans="1:24" s="12" customFormat="1" ht="33" hidden="1" customHeight="1" x14ac:dyDescent="0.2">
      <c r="A12" s="15"/>
      <c r="B12" s="2"/>
      <c r="C12" s="2"/>
      <c r="D12" s="86"/>
      <c r="E12" s="86"/>
      <c r="F12" s="86"/>
      <c r="G12" s="86"/>
      <c r="H12" s="86"/>
      <c r="I12" s="86"/>
      <c r="J12" s="86"/>
      <c r="K12" s="86"/>
      <c r="L12" s="2"/>
      <c r="M12" s="2"/>
      <c r="N12" s="2"/>
      <c r="O12" s="16"/>
      <c r="P12" s="2"/>
      <c r="Q12" s="17"/>
      <c r="R12" s="18"/>
      <c r="X12" s="12">
        <f>_xlfn.MAXIFS($U12:$U$20,$T12:$T$20,"H",$U12:$U$20,"&gt;="&amp;LOOKUP(2,1/($T12:$T$20="H")),$V12:$V$20,"&lt;=$"&amp;V12)</f>
        <v>0</v>
      </c>
    </row>
    <row r="13" spans="1:24" s="12" customFormat="1" ht="33" hidden="1" customHeight="1" x14ac:dyDescent="0.2">
      <c r="A13" s="15"/>
      <c r="B13" s="2"/>
      <c r="C13" s="2"/>
      <c r="D13" s="86"/>
      <c r="E13" s="86"/>
      <c r="F13" s="86"/>
      <c r="G13" s="86"/>
      <c r="H13" s="86"/>
      <c r="I13" s="86"/>
      <c r="J13" s="86"/>
      <c r="K13" s="86"/>
      <c r="L13" s="2"/>
      <c r="M13" s="2"/>
      <c r="N13" s="2"/>
      <c r="O13" s="16"/>
      <c r="P13" s="2"/>
      <c r="Q13" s="17"/>
      <c r="R13" s="18"/>
      <c r="X13" s="12">
        <f>_xlfn.MAXIFS($U13:$U$20,$T13:$T$20,"H",$U13:$U$20,"&gt;="&amp;LOOKUP(2,1/($T13:$T$20="H")),$V13:$V$20,"&lt;=$"&amp;V13)</f>
        <v>0</v>
      </c>
    </row>
    <row r="14" spans="1:24" s="12" customFormat="1" ht="33" hidden="1" customHeight="1" x14ac:dyDescent="0.2">
      <c r="A14" s="15"/>
      <c r="B14" s="2"/>
      <c r="C14" s="2"/>
      <c r="D14" s="86"/>
      <c r="E14" s="86"/>
      <c r="F14" s="86"/>
      <c r="G14" s="86"/>
      <c r="H14" s="86"/>
      <c r="I14" s="86"/>
      <c r="J14" s="86"/>
      <c r="K14" s="86"/>
      <c r="L14" s="2"/>
      <c r="M14" s="2"/>
      <c r="N14" s="2"/>
      <c r="O14" s="16"/>
      <c r="P14" s="2"/>
      <c r="Q14" s="17"/>
      <c r="R14" s="18"/>
      <c r="X14" s="12">
        <f>_xlfn.MAXIFS($U14:$U$20,$T14:$T$20,"H",$U14:$U$20,"&gt;="&amp;LOOKUP(2,1/($T14:$T$20="H")),$V14:$V$20,"&lt;=$"&amp;V14)</f>
        <v>0</v>
      </c>
    </row>
    <row r="15" spans="1:24" s="12" customFormat="1" ht="33" hidden="1" customHeight="1" x14ac:dyDescent="0.2">
      <c r="A15" s="15"/>
      <c r="B15" s="2"/>
      <c r="C15" s="2"/>
      <c r="D15" s="86"/>
      <c r="E15" s="86"/>
      <c r="F15" s="86"/>
      <c r="G15" s="86"/>
      <c r="H15" s="86"/>
      <c r="I15" s="86"/>
      <c r="J15" s="86"/>
      <c r="K15" s="86"/>
      <c r="L15" s="2"/>
      <c r="M15" s="2"/>
      <c r="N15" s="2"/>
      <c r="O15" s="16"/>
      <c r="P15" s="2"/>
      <c r="Q15" s="17"/>
      <c r="R15" s="18"/>
      <c r="X15" s="12">
        <f>_xlfn.MAXIFS($U15:$U$20,$T15:$T$20,"H",$U15:$U$20,"&gt;="&amp;LOOKUP(2,1/($T15:$T$20="H")),$V15:$V$20,"&lt;=$"&amp;V15)</f>
        <v>0</v>
      </c>
    </row>
    <row r="16" spans="1:24" s="12" customFormat="1" ht="18.75" hidden="1" customHeight="1" x14ac:dyDescent="0.2">
      <c r="A16" s="15"/>
      <c r="B16" s="2"/>
      <c r="C16" s="2"/>
      <c r="D16" s="86"/>
      <c r="E16" s="86"/>
      <c r="F16" s="86"/>
      <c r="G16" s="86"/>
      <c r="H16" s="86"/>
      <c r="I16" s="86"/>
      <c r="J16" s="86"/>
      <c r="K16" s="86"/>
      <c r="L16" s="2"/>
      <c r="M16" s="2"/>
      <c r="N16" s="2"/>
      <c r="O16" s="16"/>
      <c r="P16" s="2"/>
      <c r="Q16" s="17"/>
      <c r="R16" s="18"/>
      <c r="X16" s="12">
        <f>_xlfn.MAXIFS($U16:$U$20,$T16:$T$20,"H",$U16:$U$20,"&gt;="&amp;LOOKUP(2,1/($T16:$T$20="H")),$V16:$V$20,"&lt;=$"&amp;V16)</f>
        <v>0</v>
      </c>
    </row>
    <row r="17" spans="1:93" s="12" customFormat="1" hidden="1" x14ac:dyDescent="0.2">
      <c r="A17" s="19"/>
      <c r="B17" s="20"/>
      <c r="C17" s="21"/>
      <c r="D17" s="21"/>
      <c r="E17" s="21"/>
      <c r="F17" s="22"/>
      <c r="G17" s="21"/>
      <c r="H17" s="21"/>
      <c r="I17" s="21"/>
      <c r="J17" s="21"/>
      <c r="K17" s="21"/>
      <c r="L17" s="21"/>
      <c r="M17" s="21"/>
      <c r="N17" s="21"/>
      <c r="O17" s="16"/>
      <c r="P17" s="23"/>
      <c r="Q17" s="17"/>
      <c r="R17" s="24"/>
      <c r="X17" s="12">
        <f>_xlfn.MAXIFS($U17:$U$20,$T17:$T$20,"H",$U17:$U$20,"&gt;="&amp;LOOKUP(2,1/($T17:$T$20="H")),$V17:$V$20,"&lt;=$"&amp;V17)</f>
        <v>0</v>
      </c>
    </row>
    <row r="18" spans="1:93" x14ac:dyDescent="0.2">
      <c r="A18" s="11"/>
      <c r="B18" s="43"/>
      <c r="C18" s="74" t="s">
        <v>167</v>
      </c>
      <c r="D18" s="74" t="s">
        <v>167</v>
      </c>
      <c r="E18" s="74" t="s">
        <v>167</v>
      </c>
      <c r="F18" s="74" t="s">
        <v>167</v>
      </c>
      <c r="G18" s="74" t="s">
        <v>167</v>
      </c>
      <c r="H18" s="74" t="s">
        <v>167</v>
      </c>
      <c r="I18" s="74" t="s">
        <v>167</v>
      </c>
      <c r="J18" s="74" t="s">
        <v>167</v>
      </c>
      <c r="K18" s="74" t="s">
        <v>167</v>
      </c>
      <c r="L18" s="74" t="s">
        <v>167</v>
      </c>
      <c r="M18" s="74" t="s">
        <v>167</v>
      </c>
      <c r="N18" s="74" t="s">
        <v>167</v>
      </c>
      <c r="O18" s="10"/>
      <c r="Q18" s="17"/>
      <c r="X18" s="12">
        <f>_xlfn.MAXIFS($U18:$U$20,$T18:$T$20,"H",$U18:$U$20,"&gt;="&amp;LOOKUP(2,1/($T18:$T$20="H")),$V18:$V$20,"&lt;=$"&amp;V18)</f>
        <v>0</v>
      </c>
      <c r="AK18" s="12">
        <v>1</v>
      </c>
      <c r="AL18" s="12">
        <v>2</v>
      </c>
      <c r="AM18" s="12">
        <v>3</v>
      </c>
      <c r="AN18" s="12">
        <v>4</v>
      </c>
      <c r="AO18" s="12">
        <v>5</v>
      </c>
      <c r="AP18" s="12">
        <v>6</v>
      </c>
      <c r="AQ18" s="12">
        <v>7</v>
      </c>
      <c r="AR18" s="12">
        <v>8</v>
      </c>
      <c r="AS18" s="12">
        <v>9</v>
      </c>
      <c r="AT18" s="12">
        <v>10</v>
      </c>
      <c r="AU18" s="12">
        <v>11</v>
      </c>
      <c r="AV18" s="12">
        <v>12</v>
      </c>
      <c r="BY18" t="s">
        <v>165</v>
      </c>
      <c r="BZ18" t="s">
        <v>165</v>
      </c>
      <c r="CA18" t="s">
        <v>165</v>
      </c>
      <c r="CB18" t="s">
        <v>165</v>
      </c>
      <c r="CC18" t="s">
        <v>165</v>
      </c>
      <c r="CD18" t="s">
        <v>165</v>
      </c>
      <c r="CE18" t="s">
        <v>165</v>
      </c>
      <c r="CF18" t="s">
        <v>165</v>
      </c>
      <c r="CG18" t="s">
        <v>165</v>
      </c>
      <c r="CH18" t="s">
        <v>165</v>
      </c>
      <c r="CI18" t="s">
        <v>165</v>
      </c>
      <c r="CJ18" t="s">
        <v>165</v>
      </c>
    </row>
    <row r="19" spans="1:93" ht="16" thickBot="1" x14ac:dyDescent="0.25">
      <c r="A19" s="38" t="s">
        <v>2</v>
      </c>
      <c r="B19" s="38" t="s">
        <v>0</v>
      </c>
      <c r="C19" s="39" t="s">
        <v>66</v>
      </c>
      <c r="D19" s="39" t="s">
        <v>67</v>
      </c>
      <c r="E19" s="39" t="s">
        <v>68</v>
      </c>
      <c r="F19" s="39" t="s">
        <v>69</v>
      </c>
      <c r="G19" s="39" t="s">
        <v>70</v>
      </c>
      <c r="H19" s="39" t="s">
        <v>71</v>
      </c>
      <c r="I19" s="39" t="s">
        <v>72</v>
      </c>
      <c r="J19" s="39" t="s">
        <v>73</v>
      </c>
      <c r="K19" s="39" t="s">
        <v>74</v>
      </c>
      <c r="L19" s="39" t="s">
        <v>75</v>
      </c>
      <c r="M19" s="39" t="s">
        <v>76</v>
      </c>
      <c r="N19" s="39" t="s">
        <v>77</v>
      </c>
      <c r="O19" s="33" t="s">
        <v>44</v>
      </c>
      <c r="P19" s="34" t="s">
        <v>63</v>
      </c>
      <c r="Q19" s="35" t="s">
        <v>64</v>
      </c>
      <c r="R19" s="34" t="s">
        <v>1</v>
      </c>
      <c r="S19" s="34" t="s">
        <v>150</v>
      </c>
      <c r="T19" s="40" t="s">
        <v>79</v>
      </c>
      <c r="U19" s="40" t="s">
        <v>80</v>
      </c>
      <c r="V19" s="40" t="s">
        <v>81</v>
      </c>
      <c r="W19" s="40"/>
      <c r="X19" s="12">
        <f>_xlfn.MAXIFS($U19:$U$20,$T19:$T$20,"H",$U19:$U$20,"&gt;="&amp;LOOKUP(2,1/($T19:$T$20="H")),$V19:$V$20,"&lt;=$"&amp;V19)</f>
        <v>0</v>
      </c>
      <c r="Y19" s="39" t="s">
        <v>66</v>
      </c>
      <c r="Z19" s="39" t="s">
        <v>67</v>
      </c>
      <c r="AA19" s="39" t="s">
        <v>68</v>
      </c>
      <c r="AB19" s="39" t="s">
        <v>69</v>
      </c>
      <c r="AC19" s="39" t="s">
        <v>70</v>
      </c>
      <c r="AD19" s="39" t="s">
        <v>71</v>
      </c>
      <c r="AE19" s="39" t="s">
        <v>72</v>
      </c>
      <c r="AF19" s="39" t="s">
        <v>73</v>
      </c>
      <c r="AG19" s="39" t="s">
        <v>74</v>
      </c>
      <c r="AH19" s="39" t="s">
        <v>75</v>
      </c>
      <c r="AI19" s="39" t="s">
        <v>76</v>
      </c>
      <c r="AJ19" s="39" t="s">
        <v>77</v>
      </c>
      <c r="AK19" s="40" t="s">
        <v>82</v>
      </c>
      <c r="AL19" s="40" t="s">
        <v>82</v>
      </c>
      <c r="AM19" s="40" t="s">
        <v>82</v>
      </c>
      <c r="AN19" s="40" t="s">
        <v>82</v>
      </c>
      <c r="AO19" s="40" t="s">
        <v>82</v>
      </c>
      <c r="AP19" s="40" t="s">
        <v>82</v>
      </c>
      <c r="AQ19" s="40" t="s">
        <v>82</v>
      </c>
      <c r="AR19" s="40" t="s">
        <v>82</v>
      </c>
      <c r="AS19" s="40" t="s">
        <v>82</v>
      </c>
      <c r="AT19" s="40" t="s">
        <v>82</v>
      </c>
      <c r="AU19" s="40" t="s">
        <v>82</v>
      </c>
      <c r="AV19" s="40" t="s">
        <v>82</v>
      </c>
      <c r="AW19" s="40" t="s">
        <v>107</v>
      </c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M19" s="39" t="s">
        <v>66</v>
      </c>
      <c r="BN19" s="39" t="s">
        <v>67</v>
      </c>
      <c r="BO19" s="39" t="s">
        <v>68</v>
      </c>
      <c r="BP19" s="39" t="s">
        <v>69</v>
      </c>
      <c r="BQ19" s="39" t="s">
        <v>70</v>
      </c>
      <c r="BR19" s="39" t="s">
        <v>71</v>
      </c>
      <c r="BS19" s="39" t="s">
        <v>72</v>
      </c>
      <c r="BT19" s="39" t="s">
        <v>73</v>
      </c>
      <c r="BU19" s="39" t="s">
        <v>74</v>
      </c>
      <c r="BV19" s="39" t="s">
        <v>75</v>
      </c>
      <c r="BW19" s="39" t="s">
        <v>76</v>
      </c>
      <c r="BX19" s="39" t="s">
        <v>77</v>
      </c>
      <c r="BY19" s="39" t="s">
        <v>66</v>
      </c>
      <c r="BZ19" s="39" t="s">
        <v>67</v>
      </c>
      <c r="CA19" s="39" t="s">
        <v>68</v>
      </c>
      <c r="CB19" s="39" t="s">
        <v>69</v>
      </c>
      <c r="CC19" s="39" t="s">
        <v>70</v>
      </c>
      <c r="CD19" s="39" t="s">
        <v>71</v>
      </c>
      <c r="CE19" s="39" t="s">
        <v>72</v>
      </c>
      <c r="CF19" s="39" t="s">
        <v>73</v>
      </c>
      <c r="CG19" s="39" t="s">
        <v>74</v>
      </c>
      <c r="CH19" s="39" t="s">
        <v>75</v>
      </c>
      <c r="CI19" s="39" t="s">
        <v>76</v>
      </c>
      <c r="CJ19" s="39" t="s">
        <v>77</v>
      </c>
    </row>
    <row r="20" spans="1:93" x14ac:dyDescent="0.2">
      <c r="A20" s="1" t="s">
        <v>200</v>
      </c>
      <c r="B20" s="1" t="s">
        <v>201</v>
      </c>
      <c r="C20" s="78" t="s">
        <v>229</v>
      </c>
      <c r="D20" s="78" t="s">
        <v>230</v>
      </c>
      <c r="E20" s="78" t="s">
        <v>231</v>
      </c>
      <c r="F20" s="78" t="s">
        <v>232</v>
      </c>
      <c r="G20" s="78" t="s">
        <v>233</v>
      </c>
      <c r="H20" s="78" t="s">
        <v>234</v>
      </c>
      <c r="I20" s="78" t="s">
        <v>235</v>
      </c>
      <c r="J20" s="78" t="s">
        <v>236</v>
      </c>
      <c r="K20" s="78" t="s">
        <v>237</v>
      </c>
      <c r="L20" s="78" t="s">
        <v>238</v>
      </c>
      <c r="M20" s="78" t="s">
        <v>239</v>
      </c>
      <c r="N20" s="78" t="s">
        <v>240</v>
      </c>
      <c r="O20" s="77" t="s">
        <v>146</v>
      </c>
      <c r="P20" s="78" t="s">
        <v>241</v>
      </c>
      <c r="Q20" s="85"/>
      <c r="R20" s="78"/>
      <c r="S20" s="36"/>
      <c r="T20" s="41" t="s">
        <v>202</v>
      </c>
      <c r="U20" t="s">
        <v>78</v>
      </c>
      <c r="V20" s="41" t="s">
        <v>203</v>
      </c>
      <c r="W20" s="41"/>
      <c r="X20" s="12">
        <f>_xlfn.MAXIFS($U20:$U$20,$T20:$T$20,"H",$U20:$U$20,"&gt;="&amp;LOOKUP(2,1/($T20:$T$20="H")),$V20:$V$20,"&lt;=$"&amp;V20)</f>
        <v>0</v>
      </c>
      <c r="Y20" s="37" t="s">
        <v>182</v>
      </c>
      <c r="Z20" t="s">
        <v>183</v>
      </c>
      <c r="AA20" t="s">
        <v>184</v>
      </c>
      <c r="AB20" t="s">
        <v>185</v>
      </c>
      <c r="AC20" t="s">
        <v>186</v>
      </c>
      <c r="AD20" t="s">
        <v>187</v>
      </c>
      <c r="AE20" t="s">
        <v>188</v>
      </c>
      <c r="AF20" t="s">
        <v>189</v>
      </c>
      <c r="AG20" t="s">
        <v>190</v>
      </c>
      <c r="AH20" t="s">
        <v>191</v>
      </c>
      <c r="AI20" t="s">
        <v>192</v>
      </c>
      <c r="AJ20" t="s">
        <v>193</v>
      </c>
      <c r="AK20" s="42" t="s">
        <v>83</v>
      </c>
      <c r="AL20" s="42" t="s">
        <v>95</v>
      </c>
      <c r="AM20" s="42" t="s">
        <v>96</v>
      </c>
      <c r="AN20" s="42" t="s">
        <v>97</v>
      </c>
      <c r="AO20" s="42" t="s">
        <v>98</v>
      </c>
      <c r="AP20" s="42" t="s">
        <v>99</v>
      </c>
      <c r="AQ20" s="42" t="s">
        <v>100</v>
      </c>
      <c r="AR20" s="42" t="s">
        <v>101</v>
      </c>
      <c r="AS20" s="42" t="s">
        <v>102</v>
      </c>
      <c r="AT20" s="42" t="s">
        <v>103</v>
      </c>
      <c r="AU20" s="42" t="s">
        <v>104</v>
      </c>
      <c r="AV20" s="42" t="s">
        <v>105</v>
      </c>
      <c r="AW20" s="42" t="s">
        <v>108</v>
      </c>
      <c r="AX20" s="42"/>
      <c r="AY20" s="42"/>
      <c r="AZ20" s="45" t="s">
        <v>109</v>
      </c>
      <c r="BA20" s="45" t="s">
        <v>110</v>
      </c>
      <c r="BB20" s="45" t="s">
        <v>111</v>
      </c>
      <c r="BC20" s="45" t="s">
        <v>112</v>
      </c>
      <c r="BD20" s="45" t="s">
        <v>113</v>
      </c>
      <c r="BE20" s="45" t="s">
        <v>114</v>
      </c>
      <c r="BF20" s="45" t="s">
        <v>115</v>
      </c>
      <c r="BG20" s="45" t="s">
        <v>116</v>
      </c>
      <c r="BH20" s="45" t="s">
        <v>117</v>
      </c>
      <c r="BI20" s="45" t="s">
        <v>118</v>
      </c>
      <c r="BJ20" s="45" t="s">
        <v>119</v>
      </c>
      <c r="BK20" s="45" t="s">
        <v>106</v>
      </c>
      <c r="BL20" t="s">
        <v>152</v>
      </c>
      <c r="BM20" s="37" t="s">
        <v>204</v>
      </c>
      <c r="BN20" s="37" t="s">
        <v>205</v>
      </c>
      <c r="BO20" s="37" t="s">
        <v>206</v>
      </c>
      <c r="BP20" s="37" t="s">
        <v>207</v>
      </c>
      <c r="BQ20" s="37" t="s">
        <v>208</v>
      </c>
      <c r="BR20" s="37" t="s">
        <v>209</v>
      </c>
      <c r="BS20" s="37" t="s">
        <v>210</v>
      </c>
      <c r="BT20" s="37" t="s">
        <v>211</v>
      </c>
      <c r="BU20" s="37" t="s">
        <v>212</v>
      </c>
      <c r="BV20" s="37" t="s">
        <v>213</v>
      </c>
      <c r="BW20" s="37" t="s">
        <v>214</v>
      </c>
      <c r="BX20" s="37" t="s">
        <v>215</v>
      </c>
      <c r="BY20" s="37" t="s">
        <v>216</v>
      </c>
      <c r="BZ20" s="37" t="s">
        <v>217</v>
      </c>
      <c r="CA20" s="37" t="s">
        <v>218</v>
      </c>
      <c r="CB20" s="37" t="s">
        <v>219</v>
      </c>
      <c r="CC20" s="37" t="s">
        <v>220</v>
      </c>
      <c r="CD20" s="37" t="s">
        <v>221</v>
      </c>
      <c r="CE20" s="37" t="s">
        <v>222</v>
      </c>
      <c r="CF20" s="37" t="s">
        <v>223</v>
      </c>
      <c r="CG20" s="37" t="s">
        <v>224</v>
      </c>
      <c r="CH20" s="37" t="s">
        <v>225</v>
      </c>
      <c r="CI20" s="37" t="s">
        <v>226</v>
      </c>
      <c r="CJ20" s="37" t="s">
        <v>227</v>
      </c>
      <c r="CK20" s="32" t="s">
        <v>199</v>
      </c>
      <c r="CL20" s="32" t="s">
        <v>180</v>
      </c>
      <c r="CN20" s="37" t="s">
        <v>228</v>
      </c>
      <c r="CO20" s="79" t="s">
        <v>198</v>
      </c>
    </row>
    <row r="21" spans="1:93" x14ac:dyDescent="0.2">
      <c r="X21" s="12">
        <f>_xlfn.MAXIFS($U$20:$U21,$T$20:$T21,"H",$U$20:$U21,"&gt;="&amp;LOOKUP(2,1/($T$20:$T21="H")),$V$20:$V21,"&lt;=$"&amp;V21)</f>
        <v>0</v>
      </c>
    </row>
    <row r="22" spans="1:93" x14ac:dyDescent="0.2">
      <c r="E22" s="45"/>
      <c r="F22" s="45"/>
      <c r="G22" s="45"/>
      <c r="H22" s="45"/>
      <c r="I22" s="45"/>
      <c r="J22" s="45"/>
      <c r="K22" s="45"/>
      <c r="L22" s="45"/>
      <c r="M22" s="45"/>
      <c r="N22" s="45"/>
      <c r="X22" s="12">
        <f>_xlfn.MAXIFS($U$20:$U22,$T$20:$T22,"H",$U$20:$U22,"&gt;="&amp;LOOKUP(2,1/($T$20:$T22="H")),$V$20:$V22,"&lt;=$"&amp;V22)</f>
        <v>0</v>
      </c>
    </row>
    <row r="23" spans="1:93" x14ac:dyDescent="0.2">
      <c r="X23" s="12">
        <f>_xlfn.MAXIFS($U$20:$U23,$T$20:$T23,"H",$U$20:$U23,"&gt;="&amp;LOOKUP(2,1/($T$20:$T23="H")),$V$20:$V23,"&lt;=$"&amp;V23)</f>
        <v>0</v>
      </c>
    </row>
    <row r="24" spans="1:93" x14ac:dyDescent="0.2">
      <c r="X24" s="12">
        <f>_xlfn.MAXIFS($U$20:$U24,$T$20:$T24,"H",$U$20:$U24,"&gt;="&amp;LOOKUP(2,1/($T$20:$T24="H")),$V$20:$V24,"&lt;=$"&amp;V24)</f>
        <v>0</v>
      </c>
    </row>
    <row r="25" spans="1:93" x14ac:dyDescent="0.2">
      <c r="X25" s="12">
        <f>_xlfn.MAXIFS($U$20:$U25,$T$20:$T25,"H",$U$20:$U25,"&gt;="&amp;LOOKUP(2,1/($T$20:$T25="H")),$V$20:$V25,"&lt;=$"&amp;V25)</f>
        <v>0</v>
      </c>
    </row>
    <row r="26" spans="1:93" x14ac:dyDescent="0.2">
      <c r="X26" s="12">
        <f>_xlfn.MAXIFS($U$20:$U26,$T$20:$T26,"H",$U$20:$U26,"&gt;="&amp;LOOKUP(2,1/($T$20:$T26="H")),$V$20:$V26,"&lt;=$"&amp;V26)</f>
        <v>0</v>
      </c>
    </row>
    <row r="27" spans="1:93" x14ac:dyDescent="0.2">
      <c r="X27" s="12">
        <f>_xlfn.MAXIFS($U$20:$U27,$T$20:$T27,"H",$U$20:$U27,"&gt;="&amp;LOOKUP(2,1/($T$20:$T27="H")),$V$20:$V27,"&lt;=$"&amp;V27)</f>
        <v>0</v>
      </c>
    </row>
    <row r="28" spans="1:93" x14ac:dyDescent="0.2">
      <c r="X28" s="12">
        <f>_xlfn.MAXIFS($U$20:$U28,$T$20:$T28,"H",$U$20:$U28,"&gt;="&amp;LOOKUP(2,1/($T$20:$T28="H")),$V$20:$V28,"&lt;=$"&amp;V28)</f>
        <v>0</v>
      </c>
    </row>
    <row r="29" spans="1:93" x14ac:dyDescent="0.2">
      <c r="X29" s="12">
        <f>_xlfn.MAXIFS($U$20:$U29,$T$20:$T29,"H",$U$20:$U29,"&gt;="&amp;LOOKUP(2,1/($T$20:$T29="H")),$V$20:$V29,"&lt;=$"&amp;V29)</f>
        <v>0</v>
      </c>
    </row>
    <row r="30" spans="1:93" x14ac:dyDescent="0.2">
      <c r="X30" s="12">
        <f>_xlfn.MAXIFS($U$20:$U30,$T$20:$T30,"H",$U$20:$U30,"&gt;="&amp;LOOKUP(2,1/($T$20:$T30="H")),$V$20:$V30,"&lt;=$"&amp;V30)</f>
        <v>0</v>
      </c>
    </row>
    <row r="31" spans="1:93" x14ac:dyDescent="0.2">
      <c r="X31" s="12">
        <f>_xlfn.MAXIFS($U$20:$U31,$T$20:$T31,"H",$U$20:$U31,"&gt;="&amp;LOOKUP(2,1/($T$20:$T31="H")),$V$20:$V31,"&lt;=$"&amp;V31)</f>
        <v>0</v>
      </c>
    </row>
    <row r="32" spans="1:93" x14ac:dyDescent="0.2">
      <c r="X32" s="12">
        <f>_xlfn.MAXIFS($U$20:$U32,$T$20:$T32,"H",$U$20:$U32,"&gt;="&amp;LOOKUP(2,1/($T$20:$T32="H")),$V$20:$V32,"&lt;=$"&amp;V32)</f>
        <v>0</v>
      </c>
    </row>
    <row r="33" spans="24:24" x14ac:dyDescent="0.2">
      <c r="X33" s="12">
        <f>_xlfn.MAXIFS($U$20:$U33,$T$20:$T33,"H",$U$20:$U33,"&gt;="&amp;LOOKUP(2,1/($T$20:$T33="H")),$V$20:$V33,"&lt;=$"&amp;V33)</f>
        <v>0</v>
      </c>
    </row>
    <row r="34" spans="24:24" x14ac:dyDescent="0.2">
      <c r="X34" s="12">
        <f>_xlfn.MAXIFS($U$20:$U34,$T$20:$T34,"H",$U$20:$U34,"&gt;="&amp;LOOKUP(2,1/($T$20:$T34="H")),$V$20:$V34,"&lt;=$"&amp;V34)</f>
        <v>0</v>
      </c>
    </row>
    <row r="35" spans="24:24" x14ac:dyDescent="0.2">
      <c r="X35" s="12">
        <f>_xlfn.MAXIFS($U$20:$U35,$T$20:$T35,"H",$U$20:$U35,"&gt;="&amp;LOOKUP(2,1/($T$20:$T35="H")),$V$20:$V35,"&lt;=$"&amp;V35)</f>
        <v>0</v>
      </c>
    </row>
    <row r="36" spans="24:24" x14ac:dyDescent="0.2">
      <c r="X36" s="12">
        <f>_xlfn.MAXIFS($U$20:$U36,$T$20:$T36,"H",$U$20:$U36,"&gt;="&amp;LOOKUP(2,1/($T$20:$T36="H")),$V$20:$V36,"&lt;=$"&amp;V36)</f>
        <v>0</v>
      </c>
    </row>
    <row r="37" spans="24:24" x14ac:dyDescent="0.2">
      <c r="X37" s="12">
        <f>_xlfn.MAXIFS($U$20:$U37,$T$20:$T37,"H",$U$20:$U37,"&gt;="&amp;LOOKUP(2,1/($T$20:$T37="H")),$V$20:$V37,"&lt;=$"&amp;V37)</f>
        <v>0</v>
      </c>
    </row>
    <row r="38" spans="24:24" x14ac:dyDescent="0.2">
      <c r="X38" s="12">
        <f>_xlfn.MAXIFS($U$20:$U38,$T$20:$T38,"H",$U$20:$U38,"&gt;="&amp;LOOKUP(2,1/($T$20:$T38="H")),$V$20:$V38,"&lt;=$"&amp;V38)</f>
        <v>0</v>
      </c>
    </row>
    <row r="39" spans="24:24" x14ac:dyDescent="0.2">
      <c r="X39" s="12">
        <f>_xlfn.MAXIFS($U$20:$U39,$T$20:$T39,"H",$U$20:$U39,"&gt;="&amp;LOOKUP(2,1/($T$20:$T39="H")),$V$20:$V39,"&lt;=$"&amp;V39)</f>
        <v>0</v>
      </c>
    </row>
    <row r="40" spans="24:24" x14ac:dyDescent="0.2">
      <c r="X40" s="12">
        <f>_xlfn.MAXIFS($U$20:$U40,$T$20:$T40,"H",$U$20:$U40,"&gt;="&amp;LOOKUP(2,1/($T$20:$T40="H")),$V$20:$V40,"&lt;=$"&amp;V40)</f>
        <v>0</v>
      </c>
    </row>
    <row r="41" spans="24:24" x14ac:dyDescent="0.2">
      <c r="X41" s="12">
        <f>_xlfn.MAXIFS($U$20:$U41,$T$20:$T41,"H",$U$20:$U41,"&gt;="&amp;LOOKUP(2,1/($T$20:$T41="H")),$V$20:$V41,"&lt;=$"&amp;V41)</f>
        <v>0</v>
      </c>
    </row>
    <row r="42" spans="24:24" x14ac:dyDescent="0.2">
      <c r="X42" s="12">
        <f>_xlfn.MAXIFS($U$20:$U42,$T$20:$T42,"H",$U$20:$U42,"&gt;="&amp;LOOKUP(2,1/($T$20:$T42="H")),$V$20:$V42,"&lt;=$"&amp;V42)</f>
        <v>0</v>
      </c>
    </row>
    <row r="43" spans="24:24" x14ac:dyDescent="0.2">
      <c r="X43" s="12">
        <f>_xlfn.MAXIFS($U$20:$U43,$T$20:$T43,"H",$U$20:$U43,"&gt;="&amp;LOOKUP(2,1/($T$20:$T43="H")),$V$20:$V43,"&lt;=$"&amp;V43)</f>
        <v>0</v>
      </c>
    </row>
    <row r="44" spans="24:24" x14ac:dyDescent="0.2">
      <c r="X44" s="12">
        <f>_xlfn.MAXIFS($U$20:$U44,$T$20:$T44,"H",$U$20:$U44,"&gt;="&amp;LOOKUP(2,1/($T$20:$T44="H")),$V$20:$V44,"&lt;=$"&amp;V44)</f>
        <v>0</v>
      </c>
    </row>
    <row r="45" spans="24:24" x14ac:dyDescent="0.2">
      <c r="X45" s="12">
        <f>_xlfn.MAXIFS($U$20:$U45,$T$20:$T45,"H",$U$20:$U45,"&gt;="&amp;LOOKUP(2,1/($T$20:$T45="H")),$V$20:$V45,"&lt;=$"&amp;V45)</f>
        <v>0</v>
      </c>
    </row>
    <row r="46" spans="24:24" x14ac:dyDescent="0.2">
      <c r="X46" s="12">
        <f>_xlfn.MAXIFS($U$20:$U46,$T$20:$T46,"H",$U$20:$U46,"&gt;="&amp;LOOKUP(2,1/($T$20:$T46="H")),$V$20:$V46,"&lt;=$"&amp;V46)</f>
        <v>0</v>
      </c>
    </row>
    <row r="47" spans="24:24" x14ac:dyDescent="0.2">
      <c r="X47" s="12">
        <f>_xlfn.MAXIFS($U$20:$U47,$T$20:$T47,"H",$U$20:$U47,"&gt;="&amp;LOOKUP(2,1/($T$20:$T47="H")),$V$20:$V47,"&lt;=$"&amp;V47)</f>
        <v>0</v>
      </c>
    </row>
    <row r="48" spans="24:24" x14ac:dyDescent="0.2">
      <c r="X48" s="12">
        <f>_xlfn.MAXIFS($U$20:$U48,$T$20:$T48,"H",$U$20:$U48,"&gt;="&amp;LOOKUP(2,1/($T$20:$T48="H")),$V$20:$V48,"&lt;=$"&amp;V48)</f>
        <v>0</v>
      </c>
    </row>
    <row r="49" spans="24:24" x14ac:dyDescent="0.2">
      <c r="X49" s="12">
        <f>_xlfn.MAXIFS($U$20:$U49,$T$20:$T49,"H",$U$20:$U49,"&gt;="&amp;LOOKUP(2,1/($T$20:$T49="H")),$V$20:$V49,"&lt;=$"&amp;V49)</f>
        <v>0</v>
      </c>
    </row>
    <row r="50" spans="24:24" x14ac:dyDescent="0.2">
      <c r="X50" s="12">
        <f>_xlfn.MAXIFS($U$20:$U50,$T$20:$T50,"H",$U$20:$U50,"&gt;="&amp;LOOKUP(2,1/($T$20:$T50="H")),$V$20:$V50,"&lt;=$"&amp;V50)</f>
        <v>0</v>
      </c>
    </row>
    <row r="51" spans="24:24" x14ac:dyDescent="0.2">
      <c r="X51" s="12">
        <f>_xlfn.MAXIFS($U$20:$U51,$T$20:$T51,"H",$U$20:$U51,"&gt;="&amp;LOOKUP(2,1/($T$20:$T51="H")),$V$20:$V51,"&lt;=$"&amp;V51)</f>
        <v>0</v>
      </c>
    </row>
    <row r="52" spans="24:24" x14ac:dyDescent="0.2">
      <c r="X52" s="12">
        <f>_xlfn.MAXIFS($U$20:$U52,$T$20:$T52,"H",$U$20:$U52,"&gt;="&amp;LOOKUP(2,1/($T$20:$T52="H")),$V$20:$V52,"&lt;=$"&amp;V52)</f>
        <v>0</v>
      </c>
    </row>
    <row r="53" spans="24:24" x14ac:dyDescent="0.2">
      <c r="X53" s="12">
        <f>_xlfn.MAXIFS($U$20:$U53,$T$20:$T53,"H",$U$20:$U53,"&gt;="&amp;LOOKUP(2,1/($T$20:$T53="H")),$V$20:$V53,"&lt;=$"&amp;V53)</f>
        <v>0</v>
      </c>
    </row>
    <row r="54" spans="24:24" x14ac:dyDescent="0.2">
      <c r="X54" s="12">
        <f>_xlfn.MAXIFS($U$20:$U54,$T$20:$T54,"H",$U$20:$U54,"&gt;="&amp;LOOKUP(2,1/($T$20:$T54="H")),$V$20:$V54,"&lt;=$"&amp;V54)</f>
        <v>0</v>
      </c>
    </row>
    <row r="55" spans="24:24" x14ac:dyDescent="0.2">
      <c r="X55" s="12">
        <f>_xlfn.MAXIFS($U$20:$U55,$T$20:$T55,"H",$U$20:$U55,"&gt;="&amp;LOOKUP(2,1/($T$20:$T55="H")),$V$20:$V55,"&lt;=$"&amp;V55)</f>
        <v>0</v>
      </c>
    </row>
    <row r="56" spans="24:24" x14ac:dyDescent="0.2">
      <c r="X56" s="12">
        <f>_xlfn.MAXIFS($U$20:$U56,$T$20:$T56,"H",$U$20:$U56,"&gt;="&amp;LOOKUP(2,1/($T$20:$T56="H")),$V$20:$V56,"&lt;=$"&amp;V56)</f>
        <v>0</v>
      </c>
    </row>
    <row r="57" spans="24:24" x14ac:dyDescent="0.2">
      <c r="X57" s="12">
        <f>_xlfn.MAXIFS($U$20:$U57,$T$20:$T57,"H",$U$20:$U57,"&gt;="&amp;LOOKUP(2,1/($T$20:$T57="H")),$V$20:$V57,"&lt;=$"&amp;V57)</f>
        <v>0</v>
      </c>
    </row>
    <row r="58" spans="24:24" x14ac:dyDescent="0.2">
      <c r="X58" s="12">
        <f>_xlfn.MAXIFS($U$20:$U58,$T$20:$T58,"H",$U$20:$U58,"&gt;="&amp;LOOKUP(2,1/($T$20:$T58="H")),$V$20:$V58,"&lt;=$"&amp;V58)</f>
        <v>0</v>
      </c>
    </row>
    <row r="59" spans="24:24" x14ac:dyDescent="0.2">
      <c r="X59" s="12">
        <f>_xlfn.MAXIFS($U$20:$U59,$T$20:$T59,"H",$U$20:$U59,"&gt;="&amp;LOOKUP(2,1/($T$20:$T59="H")),$V$20:$V59,"&lt;=$"&amp;V59)</f>
        <v>0</v>
      </c>
    </row>
    <row r="60" spans="24:24" x14ac:dyDescent="0.2">
      <c r="X60" s="12">
        <f>_xlfn.MAXIFS($U$20:$U60,$T$20:$T60,"H",$U$20:$U60,"&gt;="&amp;LOOKUP(2,1/($T$20:$T60="H")),$V$20:$V60,"&lt;=$"&amp;V60)</f>
        <v>0</v>
      </c>
    </row>
    <row r="61" spans="24:24" x14ac:dyDescent="0.2">
      <c r="X61" s="12">
        <f>_xlfn.MAXIFS($U$20:$U61,$T$20:$T61,"H",$U$20:$U61,"&gt;="&amp;LOOKUP(2,1/($T$20:$T61="H")),$V$20:$V61,"&lt;=$"&amp;V61)</f>
        <v>0</v>
      </c>
    </row>
    <row r="62" spans="24:24" x14ac:dyDescent="0.2">
      <c r="X62" s="12">
        <f>_xlfn.MAXIFS($U$20:$U62,$T$20:$T62,"H",$U$20:$U62,"&gt;="&amp;LOOKUP(2,1/($T$20:$T62="H")),$V$20:$V62,"&lt;=$"&amp;V62)</f>
        <v>0</v>
      </c>
    </row>
    <row r="63" spans="24:24" x14ac:dyDescent="0.2">
      <c r="X63" s="12">
        <f>_xlfn.MAXIFS($U$20:$U63,$T$20:$T63,"H",$U$20:$U63,"&gt;="&amp;LOOKUP(2,1/($T$20:$T63="H")),$V$20:$V63,"&lt;=$"&amp;V63)</f>
        <v>0</v>
      </c>
    </row>
    <row r="64" spans="24:24" x14ac:dyDescent="0.2">
      <c r="X64" s="12">
        <f>_xlfn.MAXIFS($U$20:$U64,$T$20:$T64,"H",$U$20:$U64,"&gt;="&amp;LOOKUP(2,1/($T$20:$T64="H")),$V$20:$V64,"&lt;=$"&amp;V64)</f>
        <v>0</v>
      </c>
    </row>
    <row r="65" spans="24:24" x14ac:dyDescent="0.2">
      <c r="X65" s="12">
        <f>_xlfn.MAXIFS($U$20:$U65,$T$20:$T65,"H",$U$20:$U65,"&gt;="&amp;LOOKUP(2,1/($T$20:$T65="H")),$V$20:$V65,"&lt;=$"&amp;V65)</f>
        <v>0</v>
      </c>
    </row>
    <row r="66" spans="24:24" x14ac:dyDescent="0.2">
      <c r="X66" s="12">
        <f>_xlfn.MAXIFS($U$20:$U66,$T$20:$T66,"H",$U$20:$U66,"&gt;="&amp;LOOKUP(2,1/($T$20:$T66="H")),$V$20:$V66,"&lt;=$"&amp;V66)</f>
        <v>0</v>
      </c>
    </row>
    <row r="67" spans="24:24" x14ac:dyDescent="0.2">
      <c r="X67" s="12">
        <f>_xlfn.MAXIFS($U$20:$U67,$T$20:$T67,"H",$U$20:$U67,"&gt;="&amp;LOOKUP(2,1/($T$20:$T67="H")),$V$20:$V67,"&lt;=$"&amp;V67)</f>
        <v>0</v>
      </c>
    </row>
    <row r="68" spans="24:24" x14ac:dyDescent="0.2">
      <c r="X68" s="12">
        <f>_xlfn.MAXIFS($U$20:$U68,$T$20:$T68,"H",$U$20:$U68,"&gt;="&amp;LOOKUP(2,1/($T$20:$T68="H")),$V$20:$V68,"&lt;=$"&amp;V68)</f>
        <v>0</v>
      </c>
    </row>
    <row r="69" spans="24:24" x14ac:dyDescent="0.2">
      <c r="X69" s="12">
        <f>_xlfn.MAXIFS($U$20:$U69,$T$20:$T69,"H",$U$20:$U69,"&gt;="&amp;LOOKUP(2,1/($T$20:$T69="H")),$V$20:$V69,"&lt;=$"&amp;V69)</f>
        <v>0</v>
      </c>
    </row>
    <row r="70" spans="24:24" x14ac:dyDescent="0.2">
      <c r="X70" s="12">
        <f>_xlfn.MAXIFS($U$20:$U70,$T$20:$T70,"H",$U$20:$U70,"&gt;="&amp;LOOKUP(2,1/($T$20:$T70="H")),$V$20:$V70,"&lt;=$"&amp;V70)</f>
        <v>0</v>
      </c>
    </row>
    <row r="71" spans="24:24" x14ac:dyDescent="0.2">
      <c r="X71" s="12">
        <f>_xlfn.MAXIFS($U$20:$U71,$T$20:$T71,"H",$U$20:$U71,"&gt;="&amp;LOOKUP(2,1/($T$20:$T71="H")),$V$20:$V71,"&lt;=$"&amp;V71)</f>
        <v>0</v>
      </c>
    </row>
    <row r="72" spans="24:24" x14ac:dyDescent="0.2">
      <c r="X72" s="12">
        <f>_xlfn.MAXIFS($U$20:$U72,$T$20:$T72,"H",$U$20:$U72,"&gt;="&amp;LOOKUP(2,1/($T$20:$T72="H")),$V$20:$V72,"&lt;=$"&amp;V72)</f>
        <v>0</v>
      </c>
    </row>
    <row r="73" spans="24:24" x14ac:dyDescent="0.2">
      <c r="X73" s="12">
        <f>_xlfn.MAXIFS($U$20:$U73,$T$20:$T73,"H",$U$20:$U73,"&gt;="&amp;LOOKUP(2,1/($T$20:$T73="H")),$V$20:$V73,"&lt;=$"&amp;V73)</f>
        <v>0</v>
      </c>
    </row>
    <row r="74" spans="24:24" x14ac:dyDescent="0.2">
      <c r="X74" s="12">
        <f>_xlfn.MAXIFS($U$20:$U74,$T$20:$T74,"H",$U$20:$U74,"&gt;="&amp;LOOKUP(2,1/($T$20:$T74="H")),$V$20:$V74,"&lt;=$"&amp;V74)</f>
        <v>0</v>
      </c>
    </row>
    <row r="75" spans="24:24" x14ac:dyDescent="0.2">
      <c r="X75" s="12">
        <f>_xlfn.MAXIFS($U$20:$U75,$T$20:$T75,"H",$U$20:$U75,"&gt;="&amp;LOOKUP(2,1/($T$20:$T75="H")),$V$20:$V75,"&lt;=$"&amp;V75)</f>
        <v>0</v>
      </c>
    </row>
    <row r="76" spans="24:24" x14ac:dyDescent="0.2">
      <c r="X76" s="12">
        <f>_xlfn.MAXIFS($U$20:$U76,$T$20:$T76,"H",$U$20:$U76,"&gt;="&amp;LOOKUP(2,1/($T$20:$T76="H")),$V$20:$V76,"&lt;=$"&amp;V76)</f>
        <v>0</v>
      </c>
    </row>
    <row r="77" spans="24:24" x14ac:dyDescent="0.2">
      <c r="X77" s="12">
        <f>_xlfn.MAXIFS($U$20:$U77,$T$20:$T77,"H",$U$20:$U77,"&gt;="&amp;LOOKUP(2,1/($T$20:$T77="H")),$V$20:$V77,"&lt;=$"&amp;V77)</f>
        <v>0</v>
      </c>
    </row>
    <row r="78" spans="24:24" x14ac:dyDescent="0.2">
      <c r="X78" s="12">
        <f>_xlfn.MAXIFS($U$20:$U78,$T$20:$T78,"H",$U$20:$U78,"&gt;="&amp;LOOKUP(2,1/($T$20:$T78="H")),$V$20:$V78,"&lt;=$"&amp;V78)</f>
        <v>0</v>
      </c>
    </row>
    <row r="79" spans="24:24" x14ac:dyDescent="0.2">
      <c r="X79" s="12">
        <f>_xlfn.MAXIFS($U$20:$U79,$T$20:$T79,"H",$U$20:$U79,"&gt;="&amp;LOOKUP(2,1/($T$20:$T79="H")),$V$20:$V79,"&lt;=$"&amp;V79)</f>
        <v>0</v>
      </c>
    </row>
    <row r="80" spans="24:24" x14ac:dyDescent="0.2">
      <c r="X80" s="12">
        <f>_xlfn.MAXIFS($U$20:$U80,$T$20:$T80,"H",$U$20:$U80,"&gt;="&amp;LOOKUP(2,1/($T$20:$T80="H")),$V$20:$V80,"&lt;=$"&amp;V80)</f>
        <v>0</v>
      </c>
    </row>
    <row r="81" spans="24:24" x14ac:dyDescent="0.2">
      <c r="X81" s="12">
        <f>_xlfn.MAXIFS($U$20:$U81,$T$20:$T81,"H",$U$20:$U81,"&gt;="&amp;LOOKUP(2,1/($T$20:$T81="H")),$V$20:$V81,"&lt;=$"&amp;V81)</f>
        <v>0</v>
      </c>
    </row>
    <row r="82" spans="24:24" x14ac:dyDescent="0.2">
      <c r="X82" s="12">
        <f>_xlfn.MAXIFS($U$20:$U82,$T$20:$T82,"H",$U$20:$U82,"&gt;="&amp;LOOKUP(2,1/($T$20:$T82="H")),$V$20:$V82,"&lt;=$"&amp;V82)</f>
        <v>0</v>
      </c>
    </row>
    <row r="83" spans="24:24" x14ac:dyDescent="0.2">
      <c r="X83" s="12">
        <f>_xlfn.MAXIFS($U$20:$U83,$T$20:$T83,"H",$U$20:$U83,"&gt;="&amp;LOOKUP(2,1/($T$20:$T83="H")),$V$20:$V83,"&lt;=$"&amp;V83)</f>
        <v>0</v>
      </c>
    </row>
    <row r="84" spans="24:24" x14ac:dyDescent="0.2">
      <c r="X84" s="12">
        <f>_xlfn.MAXIFS($U$20:$U84,$T$20:$T84,"H",$U$20:$U84,"&gt;="&amp;LOOKUP(2,1/($T$20:$T84="H")),$V$20:$V84,"&lt;=$"&amp;V84)</f>
        <v>0</v>
      </c>
    </row>
    <row r="85" spans="24:24" x14ac:dyDescent="0.2">
      <c r="X85" s="12">
        <f>_xlfn.MAXIFS($U$20:$U85,$T$20:$T85,"H",$U$20:$U85,"&gt;="&amp;LOOKUP(2,1/($T$20:$T85="H")),$V$20:$V85,"&lt;=$"&amp;V85)</f>
        <v>0</v>
      </c>
    </row>
    <row r="86" spans="24:24" x14ac:dyDescent="0.2">
      <c r="X86" s="12">
        <f>_xlfn.MAXIFS($U$20:$U86,$T$20:$T86,"H",$U$20:$U86,"&gt;="&amp;LOOKUP(2,1/($T$20:$T86="H")),$V$20:$V86,"&lt;=$"&amp;V86)</f>
        <v>0</v>
      </c>
    </row>
    <row r="87" spans="24:24" x14ac:dyDescent="0.2">
      <c r="X87" s="12">
        <f>_xlfn.MAXIFS($U$20:$U87,$T$20:$T87,"H",$U$20:$U87,"&gt;="&amp;LOOKUP(2,1/($T$20:$T87="H")),$V$20:$V87,"&lt;=$"&amp;V87)</f>
        <v>0</v>
      </c>
    </row>
    <row r="88" spans="24:24" x14ac:dyDescent="0.2">
      <c r="X88" s="12">
        <f>_xlfn.MAXIFS($U$20:$U88,$T$20:$T88,"H",$U$20:$U88,"&gt;="&amp;LOOKUP(2,1/($T$20:$T88="H")),$V$20:$V88,"&lt;=$"&amp;V88)</f>
        <v>0</v>
      </c>
    </row>
    <row r="89" spans="24:24" x14ac:dyDescent="0.2">
      <c r="X89" s="12">
        <f>_xlfn.MAXIFS($U$20:$U89,$T$20:$T89,"H",$U$20:$U89,"&gt;="&amp;LOOKUP(2,1/($T$20:$T89="H")),$V$20:$V89,"&lt;=$"&amp;V89)</f>
        <v>0</v>
      </c>
    </row>
    <row r="90" spans="24:24" x14ac:dyDescent="0.2">
      <c r="X90" s="12">
        <f>_xlfn.MAXIFS($U$20:$U90,$T$20:$T90,"H",$U$20:$U90,"&gt;="&amp;LOOKUP(2,1/($T$20:$T90="H")),$V$20:$V90,"&lt;=$"&amp;V90)</f>
        <v>0</v>
      </c>
    </row>
    <row r="91" spans="24:24" x14ac:dyDescent="0.2">
      <c r="X91" s="12">
        <f>_xlfn.MAXIFS($U$20:$U91,$T$20:$T91,"H",$U$20:$U91,"&gt;="&amp;LOOKUP(2,1/($T$20:$T91="H")),$V$20:$V91,"&lt;=$"&amp;V91)</f>
        <v>0</v>
      </c>
    </row>
    <row r="92" spans="24:24" x14ac:dyDescent="0.2">
      <c r="X92" s="12">
        <f>_xlfn.MAXIFS($U$20:$U92,$T$20:$T92,"H",$U$20:$U92,"&gt;="&amp;LOOKUP(2,1/($T$20:$T92="H")),$V$20:$V92,"&lt;=$"&amp;V92)</f>
        <v>0</v>
      </c>
    </row>
    <row r="93" spans="24:24" x14ac:dyDescent="0.2">
      <c r="X93" s="12">
        <f>_xlfn.MAXIFS($U$20:$U93,$T$20:$T93,"H",$U$20:$U93,"&gt;="&amp;LOOKUP(2,1/($T$20:$T93="H")),$V$20:$V93,"&lt;=$"&amp;V93)</f>
        <v>0</v>
      </c>
    </row>
    <row r="94" spans="24:24" x14ac:dyDescent="0.2">
      <c r="X94" s="12">
        <f>_xlfn.MAXIFS($U$20:$U94,$T$20:$T94,"H",$U$20:$U94,"&gt;="&amp;LOOKUP(2,1/($T$20:$T94="H")),$V$20:$V94,"&lt;=$"&amp;V94)</f>
        <v>0</v>
      </c>
    </row>
    <row r="95" spans="24:24" x14ac:dyDescent="0.2">
      <c r="X95" s="12">
        <f>_xlfn.MAXIFS($U$20:$U95,$T$20:$T95,"H",$U$20:$U95,"&gt;="&amp;LOOKUP(2,1/($T$20:$T95="H")),$V$20:$V95,"&lt;=$"&amp;V95)</f>
        <v>0</v>
      </c>
    </row>
    <row r="96" spans="24:24" x14ac:dyDescent="0.2">
      <c r="X96" s="12">
        <f>_xlfn.MAXIFS($U$20:$U96,$T$20:$T96,"H",$U$20:$U96,"&gt;="&amp;LOOKUP(2,1/($T$20:$T96="H")),$V$20:$V96,"&lt;=$"&amp;V96)</f>
        <v>0</v>
      </c>
    </row>
    <row r="97" spans="24:24" x14ac:dyDescent="0.2">
      <c r="X97" s="12">
        <f>_xlfn.MAXIFS($U$20:$U97,$T$20:$T97,"H",$U$20:$U97,"&gt;="&amp;LOOKUP(2,1/($T$20:$T97="H")),$V$20:$V97,"&lt;=$"&amp;V97)</f>
        <v>0</v>
      </c>
    </row>
    <row r="98" spans="24:24" x14ac:dyDescent="0.2">
      <c r="X98" s="12">
        <f>_xlfn.MAXIFS($U$20:$U98,$T$20:$T98,"H",$U$20:$U98,"&gt;="&amp;LOOKUP(2,1/($T$20:$T98="H")),$V$20:$V98,"&lt;=$"&amp;V98)</f>
        <v>0</v>
      </c>
    </row>
    <row r="99" spans="24:24" x14ac:dyDescent="0.2">
      <c r="X99" s="12">
        <f>_xlfn.MAXIFS($U$20:$U99,$T$20:$T99,"H",$U$20:$U99,"&gt;="&amp;LOOKUP(2,1/($T$20:$T99="H")),$V$20:$V99,"&lt;=$"&amp;V99)</f>
        <v>0</v>
      </c>
    </row>
    <row r="100" spans="24:24" x14ac:dyDescent="0.2">
      <c r="X100" s="12">
        <f>_xlfn.MAXIFS($U$20:$U100,$T$20:$T100,"H",$U$20:$U100,"&gt;="&amp;LOOKUP(2,1/($T$20:$T100="H")),$V$20:$V100,"&lt;=$"&amp;V100)</f>
        <v>0</v>
      </c>
    </row>
    <row r="101" spans="24:24" x14ac:dyDescent="0.2">
      <c r="X101" s="12">
        <f>_xlfn.MAXIFS($U$20:$U101,$T$20:$T101,"H",$U$20:$U101,"&gt;="&amp;LOOKUP(2,1/($T$20:$T101="H")),$V$20:$V101,"&lt;=$"&amp;V101)</f>
        <v>0</v>
      </c>
    </row>
    <row r="102" spans="24:24" x14ac:dyDescent="0.2">
      <c r="X102" s="12">
        <f>_xlfn.MAXIFS($U$20:$U102,$T$20:$T102,"H",$U$20:$U102,"&gt;="&amp;LOOKUP(2,1/($T$20:$T102="H")),$V$20:$V102,"&lt;=$"&amp;V102)</f>
        <v>0</v>
      </c>
    </row>
    <row r="103" spans="24:24" x14ac:dyDescent="0.2">
      <c r="X103" s="12">
        <f>_xlfn.MAXIFS($U$20:$U103,$T$20:$T103,"H",$U$20:$U103,"&gt;="&amp;LOOKUP(2,1/($T$20:$T103="H")),$V$20:$V103,"&lt;=$"&amp;V103)</f>
        <v>0</v>
      </c>
    </row>
    <row r="104" spans="24:24" x14ac:dyDescent="0.2">
      <c r="X104" s="12">
        <f>_xlfn.MAXIFS($U$20:$U104,$T$20:$T104,"H",$U$20:$U104,"&gt;="&amp;LOOKUP(2,1/($T$20:$T104="H")),$V$20:$V104,"&lt;=$"&amp;V104)</f>
        <v>0</v>
      </c>
    </row>
    <row r="105" spans="24:24" x14ac:dyDescent="0.2">
      <c r="X105" s="12">
        <f>_xlfn.MAXIFS($U$20:$U105,$T$20:$T105,"H",$U$20:$U105,"&gt;="&amp;LOOKUP(2,1/($T$20:$T105="H")),$V$20:$V105,"&lt;=$"&amp;V105)</f>
        <v>0</v>
      </c>
    </row>
    <row r="106" spans="24:24" x14ac:dyDescent="0.2">
      <c r="X106" s="12">
        <f>_xlfn.MAXIFS($U$20:$U106,$T$20:$T106,"H",$U$20:$U106,"&gt;="&amp;LOOKUP(2,1/($T$20:$T106="H")),$V$20:$V106,"&lt;=$"&amp;V106)</f>
        <v>0</v>
      </c>
    </row>
    <row r="107" spans="24:24" x14ac:dyDescent="0.2">
      <c r="X107" s="12">
        <f>_xlfn.MAXIFS($U$20:$U107,$T$20:$T107,"H",$U$20:$U107,"&gt;="&amp;LOOKUP(2,1/($T$20:$T107="H")),$V$20:$V107,"&lt;=$"&amp;V107)</f>
        <v>0</v>
      </c>
    </row>
    <row r="108" spans="24:24" x14ac:dyDescent="0.2">
      <c r="X108" s="12">
        <f>_xlfn.MAXIFS($U$20:$U108,$T$20:$T108,"H",$U$20:$U108,"&gt;="&amp;LOOKUP(2,1/($T$20:$T108="H")),$V$20:$V108,"&lt;=$"&amp;V108)</f>
        <v>0</v>
      </c>
    </row>
    <row r="109" spans="24:24" x14ac:dyDescent="0.2">
      <c r="X109" s="12">
        <f>_xlfn.MAXIFS($U$20:$U109,$T$20:$T109,"H",$U$20:$U109,"&gt;="&amp;LOOKUP(2,1/($T$20:$T109="H")),$V$20:$V109,"&lt;=$"&amp;V109)</f>
        <v>0</v>
      </c>
    </row>
    <row r="110" spans="24:24" x14ac:dyDescent="0.2">
      <c r="X110" s="12">
        <f>_xlfn.MAXIFS($U$20:$U110,$T$20:$T110,"H",$U$20:$U110,"&gt;="&amp;LOOKUP(2,1/($T$20:$T110="H")),$V$20:$V110,"&lt;=$"&amp;V110)</f>
        <v>0</v>
      </c>
    </row>
    <row r="111" spans="24:24" x14ac:dyDescent="0.2">
      <c r="X111" s="12">
        <f>_xlfn.MAXIFS($U$20:$U111,$T$20:$T111,"H",$U$20:$U111,"&gt;="&amp;LOOKUP(2,1/($T$20:$T111="H")),$V$20:$V111,"&lt;=$"&amp;V111)</f>
        <v>0</v>
      </c>
    </row>
    <row r="112" spans="24:24" x14ac:dyDescent="0.2">
      <c r="X112" s="12">
        <f>_xlfn.MAXIFS($U$20:$U112,$T$20:$T112,"H",$U$20:$U112,"&gt;="&amp;LOOKUP(2,1/($T$20:$T112="H")),$V$20:$V112,"&lt;=$"&amp;V112)</f>
        <v>0</v>
      </c>
    </row>
    <row r="113" spans="24:24" x14ac:dyDescent="0.2">
      <c r="X113" s="12">
        <f>_xlfn.MAXIFS($U$20:$U113,$T$20:$T113,"H",$U$20:$U113,"&gt;="&amp;LOOKUP(2,1/($T$20:$T113="H")),$V$20:$V113,"&lt;=$"&amp;V113)</f>
        <v>0</v>
      </c>
    </row>
    <row r="114" spans="24:24" x14ac:dyDescent="0.2">
      <c r="X114" s="12">
        <f>_xlfn.MAXIFS($U$20:$U114,$T$20:$T114,"H",$U$20:$U114,"&gt;="&amp;LOOKUP(2,1/($T$20:$T114="H")),$V$20:$V114,"&lt;=$"&amp;V114)</f>
        <v>0</v>
      </c>
    </row>
    <row r="115" spans="24:24" x14ac:dyDescent="0.2">
      <c r="X115" s="12">
        <f>_xlfn.MAXIFS($U$20:$U115,$T$20:$T115,"H",$U$20:$U115,"&gt;="&amp;LOOKUP(2,1/($T$20:$T115="H")),$V$20:$V115,"&lt;=$"&amp;V115)</f>
        <v>0</v>
      </c>
    </row>
    <row r="116" spans="24:24" x14ac:dyDescent="0.2">
      <c r="X116" s="12">
        <f>_xlfn.MAXIFS($U$20:$U116,$T$20:$T116,"H",$U$20:$U116,"&gt;="&amp;LOOKUP(2,1/($T$20:$T116="H")),$V$20:$V116,"&lt;=$"&amp;V116)</f>
        <v>0</v>
      </c>
    </row>
    <row r="117" spans="24:24" x14ac:dyDescent="0.2">
      <c r="X117" s="12">
        <f>_xlfn.MAXIFS($U$20:$U117,$T$20:$T117,"H",$U$20:$U117,"&gt;="&amp;LOOKUP(2,1/($T$20:$T117="H")),$V$20:$V117,"&lt;=$"&amp;V117)</f>
        <v>0</v>
      </c>
    </row>
    <row r="118" spans="24:24" x14ac:dyDescent="0.2">
      <c r="X118" s="12">
        <f>_xlfn.MAXIFS($U$20:$U118,$T$20:$T118,"H",$U$20:$U118,"&gt;="&amp;LOOKUP(2,1/($T$20:$T118="H")),$V$20:$V118,"&lt;=$"&amp;V118)</f>
        <v>0</v>
      </c>
    </row>
    <row r="119" spans="24:24" x14ac:dyDescent="0.2">
      <c r="X119" s="12">
        <f>_xlfn.MAXIFS($U$20:$U119,$T$20:$T119,"H",$U$20:$U119,"&gt;="&amp;LOOKUP(2,1/($T$20:$T119="H")),$V$20:$V119,"&lt;=$"&amp;V119)</f>
        <v>0</v>
      </c>
    </row>
    <row r="120" spans="24:24" x14ac:dyDescent="0.2">
      <c r="X120" s="12">
        <f>_xlfn.MAXIFS($U$20:$U120,$T$20:$T120,"H",$U$20:$U120,"&gt;="&amp;LOOKUP(2,1/($T$20:$T120="H")),$V$20:$V120,"&lt;=$"&amp;V120)</f>
        <v>0</v>
      </c>
    </row>
    <row r="121" spans="24:24" x14ac:dyDescent="0.2">
      <c r="X121" s="12">
        <f>_xlfn.MAXIFS($U$20:$U121,$T$20:$T121,"H",$U$20:$U121,"&gt;="&amp;LOOKUP(2,1/($T$20:$T121="H")),$V$20:$V121,"&lt;=$"&amp;V121)</f>
        <v>0</v>
      </c>
    </row>
    <row r="122" spans="24:24" x14ac:dyDescent="0.2">
      <c r="X122" s="12">
        <f>_xlfn.MAXIFS($U$20:$U122,$T$20:$T122,"H",$U$20:$U122,"&gt;="&amp;LOOKUP(2,1/($T$20:$T122="H")),$V$20:$V122,"&lt;=$"&amp;V122)</f>
        <v>0</v>
      </c>
    </row>
    <row r="123" spans="24:24" x14ac:dyDescent="0.2">
      <c r="X123" s="12">
        <f>_xlfn.MAXIFS($U$20:$U123,$T$20:$T123,"H",$U$20:$U123,"&gt;="&amp;LOOKUP(2,1/($T$20:$T123="H")),$V$20:$V123,"&lt;=$"&amp;V123)</f>
        <v>0</v>
      </c>
    </row>
    <row r="124" spans="24:24" x14ac:dyDescent="0.2">
      <c r="X124" s="12">
        <f>_xlfn.MAXIFS($U$20:$U124,$T$20:$T124,"H",$U$20:$U124,"&gt;="&amp;LOOKUP(2,1/($T$20:$T124="H")),$V$20:$V124,"&lt;=$"&amp;V124)</f>
        <v>0</v>
      </c>
    </row>
    <row r="125" spans="24:24" x14ac:dyDescent="0.2">
      <c r="X125" s="12">
        <f>_xlfn.MAXIFS($U$20:$U125,$T$20:$T125,"H",$U$20:$U125,"&gt;="&amp;LOOKUP(2,1/($T$20:$T125="H")),$V$20:$V125,"&lt;=$"&amp;V125)</f>
        <v>0</v>
      </c>
    </row>
    <row r="126" spans="24:24" x14ac:dyDescent="0.2">
      <c r="X126" s="12">
        <f>_xlfn.MAXIFS($U$20:$U126,$T$20:$T126,"H",$U$20:$U126,"&gt;="&amp;LOOKUP(2,1/($T$20:$T126="H")),$V$20:$V126,"&lt;=$"&amp;V126)</f>
        <v>0</v>
      </c>
    </row>
    <row r="127" spans="24:24" x14ac:dyDescent="0.2">
      <c r="X127" s="12">
        <f>_xlfn.MAXIFS($U$20:$U127,$T$20:$T127,"H",$U$20:$U127,"&gt;="&amp;LOOKUP(2,1/($T$20:$T127="H")),$V$20:$V127,"&lt;=$"&amp;V127)</f>
        <v>0</v>
      </c>
    </row>
    <row r="128" spans="24:24" x14ac:dyDescent="0.2">
      <c r="X128" s="12">
        <f>_xlfn.MAXIFS($U$20:$U128,$T$20:$T128,"H",$U$20:$U128,"&gt;="&amp;LOOKUP(2,1/($T$20:$T128="H")),$V$20:$V128,"&lt;=$"&amp;V128)</f>
        <v>0</v>
      </c>
    </row>
    <row r="129" spans="24:24" x14ac:dyDescent="0.2">
      <c r="X129" s="12">
        <f>_xlfn.MAXIFS($U$20:$U129,$T$20:$T129,"H",$U$20:$U129,"&gt;="&amp;LOOKUP(2,1/($T$20:$T129="H")),$V$20:$V129,"&lt;=$"&amp;V129)</f>
        <v>0</v>
      </c>
    </row>
    <row r="130" spans="24:24" x14ac:dyDescent="0.2">
      <c r="X130" s="12">
        <f>_xlfn.MAXIFS($U$20:$U130,$T$20:$T130,"H",$U$20:$U130,"&gt;="&amp;LOOKUP(2,1/($T$20:$T130="H")),$V$20:$V130,"&lt;=$"&amp;V130)</f>
        <v>0</v>
      </c>
    </row>
    <row r="131" spans="24:24" x14ac:dyDescent="0.2">
      <c r="X131" s="12">
        <f>_xlfn.MAXIFS($U$20:$U131,$T$20:$T131,"H",$U$20:$U131,"&gt;="&amp;LOOKUP(2,1/($T$20:$T131="H")),$V$20:$V131,"&lt;=$"&amp;V131)</f>
        <v>0</v>
      </c>
    </row>
    <row r="132" spans="24:24" x14ac:dyDescent="0.2">
      <c r="X132" s="12">
        <f>_xlfn.MAXIFS($U$20:$U132,$T$20:$T132,"H",$U$20:$U132,"&gt;="&amp;LOOKUP(2,1/($T$20:$T132="H")),$V$20:$V132,"&lt;=$"&amp;V132)</f>
        <v>0</v>
      </c>
    </row>
    <row r="133" spans="24:24" x14ac:dyDescent="0.2">
      <c r="X133" s="12">
        <f>_xlfn.MAXIFS($U$20:$U133,$T$20:$T133,"H",$U$20:$U133,"&gt;="&amp;LOOKUP(2,1/($T$20:$T133="H")),$V$20:$V133,"&lt;=$"&amp;V133)</f>
        <v>0</v>
      </c>
    </row>
    <row r="134" spans="24:24" x14ac:dyDescent="0.2">
      <c r="X134" s="12">
        <f>_xlfn.MAXIFS($U$20:$U134,$T$20:$T134,"H",$U$20:$U134,"&gt;="&amp;LOOKUP(2,1/($T$20:$T134="H")),$V$20:$V134,"&lt;=$"&amp;V134)</f>
        <v>0</v>
      </c>
    </row>
    <row r="135" spans="24:24" x14ac:dyDescent="0.2">
      <c r="X135" s="12">
        <f>_xlfn.MAXIFS($U$20:$U135,$T$20:$T135,"H",$U$20:$U135,"&gt;="&amp;LOOKUP(2,1/($T$20:$T135="H")),$V$20:$V135,"&lt;=$"&amp;V135)</f>
        <v>0</v>
      </c>
    </row>
    <row r="136" spans="24:24" x14ac:dyDescent="0.2">
      <c r="X136" s="12">
        <f>_xlfn.MAXIFS($U$20:$U136,$T$20:$T136,"H",$U$20:$U136,"&gt;="&amp;LOOKUP(2,1/($T$20:$T136="H")),$V$20:$V136,"&lt;=$"&amp;V136)</f>
        <v>0</v>
      </c>
    </row>
    <row r="137" spans="24:24" x14ac:dyDescent="0.2">
      <c r="X137" s="12">
        <f>_xlfn.MAXIFS($U$20:$U137,$T$20:$T137,"H",$U$20:$U137,"&gt;="&amp;LOOKUP(2,1/($T$20:$T137="H")),$V$20:$V137,"&lt;=$"&amp;V137)</f>
        <v>0</v>
      </c>
    </row>
    <row r="138" spans="24:24" x14ac:dyDescent="0.2">
      <c r="X138" s="12">
        <f>_xlfn.MAXIFS($U$20:$U138,$T$20:$T138,"H",$U$20:$U138,"&gt;="&amp;LOOKUP(2,1/($T$20:$T138="H")),$V$20:$V138,"&lt;=$"&amp;V138)</f>
        <v>0</v>
      </c>
    </row>
    <row r="139" spans="24:24" x14ac:dyDescent="0.2">
      <c r="X139" s="12">
        <f>_xlfn.MAXIFS($U$20:$U139,$T$20:$T139,"H",$U$20:$U139,"&gt;="&amp;LOOKUP(2,1/($T$20:$T139="H")),$V$20:$V139,"&lt;=$"&amp;V139)</f>
        <v>0</v>
      </c>
    </row>
    <row r="140" spans="24:24" x14ac:dyDescent="0.2">
      <c r="X140" s="12">
        <f>_xlfn.MAXIFS($U$20:$U140,$T$20:$T140,"H",$U$20:$U140,"&gt;="&amp;LOOKUP(2,1/($T$20:$T140="H")),$V$20:$V140,"&lt;=$"&amp;V140)</f>
        <v>0</v>
      </c>
    </row>
    <row r="141" spans="24:24" x14ac:dyDescent="0.2">
      <c r="X141" s="12">
        <f>_xlfn.MAXIFS($U$20:$U141,$T$20:$T141,"H",$U$20:$U141,"&gt;="&amp;LOOKUP(2,1/($T$20:$T141="H")),$V$20:$V141,"&lt;=$"&amp;V141)</f>
        <v>0</v>
      </c>
    </row>
    <row r="142" spans="24:24" x14ac:dyDescent="0.2">
      <c r="X142" s="12">
        <f>_xlfn.MAXIFS($U$20:$U142,$T$20:$T142,"H",$U$20:$U142,"&gt;="&amp;LOOKUP(2,1/($T$20:$T142="H")),$V$20:$V142,"&lt;=$"&amp;V142)</f>
        <v>0</v>
      </c>
    </row>
    <row r="143" spans="24:24" x14ac:dyDescent="0.2">
      <c r="X143" s="12">
        <f>_xlfn.MAXIFS($U$20:$U143,$T$20:$T143,"H",$U$20:$U143,"&gt;="&amp;LOOKUP(2,1/($T$20:$T143="H")),$V$20:$V143,"&lt;=$"&amp;V143)</f>
        <v>0</v>
      </c>
    </row>
    <row r="144" spans="24:24" x14ac:dyDescent="0.2">
      <c r="X144" s="12">
        <f>_xlfn.MAXIFS($U$20:$U144,$T$20:$T144,"H",$U$20:$U144,"&gt;="&amp;LOOKUP(2,1/($T$20:$T144="H")),$V$20:$V144,"&lt;=$"&amp;V144)</f>
        <v>0</v>
      </c>
    </row>
    <row r="145" spans="24:24" x14ac:dyDescent="0.2">
      <c r="X145" s="12">
        <f>_xlfn.MAXIFS($U$20:$U145,$T$20:$T145,"H",$U$20:$U145,"&gt;="&amp;LOOKUP(2,1/($T$20:$T145="H")),$V$20:$V145,"&lt;=$"&amp;V145)</f>
        <v>0</v>
      </c>
    </row>
    <row r="146" spans="24:24" x14ac:dyDescent="0.2">
      <c r="X146" s="12">
        <f>_xlfn.MAXIFS($U$20:$U146,$T$20:$T146,"H",$U$20:$U146,"&gt;="&amp;LOOKUP(2,1/($T$20:$T146="H")),$V$20:$V146,"&lt;=$"&amp;V146)</f>
        <v>0</v>
      </c>
    </row>
    <row r="147" spans="24:24" x14ac:dyDescent="0.2">
      <c r="X147" s="12">
        <f>_xlfn.MAXIFS($U$20:$U147,$T$20:$T147,"H",$U$20:$U147,"&gt;="&amp;LOOKUP(2,1/($T$20:$T147="H")),$V$20:$V147,"&lt;=$"&amp;V147)</f>
        <v>0</v>
      </c>
    </row>
    <row r="148" spans="24:24" x14ac:dyDescent="0.2">
      <c r="X148" s="12">
        <f>_xlfn.MAXIFS($U$20:$U148,$T$20:$T148,"H",$U$20:$U148,"&gt;="&amp;LOOKUP(2,1/($T$20:$T148="H")),$V$20:$V148,"&lt;=$"&amp;V148)</f>
        <v>0</v>
      </c>
    </row>
    <row r="149" spans="24:24" x14ac:dyDescent="0.2">
      <c r="X149" s="12">
        <f>_xlfn.MAXIFS($U$20:$U149,$T$20:$T149,"H",$U$20:$U149,"&gt;="&amp;LOOKUP(2,1/($T$20:$T149="H")),$V$20:$V149,"&lt;=$"&amp;V149)</f>
        <v>0</v>
      </c>
    </row>
    <row r="150" spans="24:24" x14ac:dyDescent="0.2">
      <c r="X150" s="12">
        <f>_xlfn.MAXIFS($U$20:$U150,$T$20:$T150,"H",$U$20:$U150,"&gt;="&amp;LOOKUP(2,1/($T$20:$T150="H")),$V$20:$V150,"&lt;=$"&amp;V150)</f>
        <v>0</v>
      </c>
    </row>
    <row r="151" spans="24:24" x14ac:dyDescent="0.2">
      <c r="X151" s="12">
        <f>_xlfn.MAXIFS($U$20:$U151,$T$20:$T151,"H",$U$20:$U151,"&gt;="&amp;LOOKUP(2,1/($T$20:$T151="H")),$V$20:$V151,"&lt;=$"&amp;V151)</f>
        <v>0</v>
      </c>
    </row>
    <row r="152" spans="24:24" x14ac:dyDescent="0.2">
      <c r="X152" s="12">
        <f>_xlfn.MAXIFS($U$20:$U152,$T$20:$T152,"H",$U$20:$U152,"&gt;="&amp;LOOKUP(2,1/($T$20:$T152="H")),$V$20:$V152,"&lt;=$"&amp;V152)</f>
        <v>0</v>
      </c>
    </row>
    <row r="153" spans="24:24" x14ac:dyDescent="0.2">
      <c r="X153" s="12">
        <f>_xlfn.MAXIFS($U$20:$U153,$T$20:$T153,"H",$U$20:$U153,"&gt;="&amp;LOOKUP(2,1/($T$20:$T153="H")),$V$20:$V153,"&lt;=$"&amp;V153)</f>
        <v>0</v>
      </c>
    </row>
    <row r="154" spans="24:24" x14ac:dyDescent="0.2">
      <c r="X154" s="12">
        <f>_xlfn.MAXIFS($U$20:$U154,$T$20:$T154,"H",$U$20:$U154,"&gt;="&amp;LOOKUP(2,1/($T$20:$T154="H")),$V$20:$V154,"&lt;=$"&amp;V154)</f>
        <v>0</v>
      </c>
    </row>
    <row r="155" spans="24:24" x14ac:dyDescent="0.2">
      <c r="X155" s="12">
        <f>_xlfn.MAXIFS($U$20:$U155,$T$20:$T155,"H",$U$20:$U155,"&gt;="&amp;LOOKUP(2,1/($T$20:$T155="H")),$V$20:$V155,"&lt;=$"&amp;V155)</f>
        <v>0</v>
      </c>
    </row>
    <row r="156" spans="24:24" x14ac:dyDescent="0.2">
      <c r="X156" s="12">
        <f>_xlfn.MAXIFS($U$20:$U156,$T$20:$T156,"H",$U$20:$U156,"&gt;="&amp;LOOKUP(2,1/($T$20:$T156="H")),$V$20:$V156,"&lt;=$"&amp;V156)</f>
        <v>0</v>
      </c>
    </row>
    <row r="157" spans="24:24" x14ac:dyDescent="0.2">
      <c r="X157" s="12">
        <f>_xlfn.MAXIFS($U$20:$U157,$T$20:$T157,"H",$U$20:$U157,"&gt;="&amp;LOOKUP(2,1/($T$20:$T157="H")),$V$20:$V157,"&lt;=$"&amp;V157)</f>
        <v>0</v>
      </c>
    </row>
    <row r="158" spans="24:24" x14ac:dyDescent="0.2">
      <c r="X158" s="12">
        <f>_xlfn.MAXIFS($U$20:$U158,$T$20:$T158,"H",$U$20:$U158,"&gt;="&amp;LOOKUP(2,1/($T$20:$T158="H")),$V$20:$V158,"&lt;=$"&amp;V158)</f>
        <v>0</v>
      </c>
    </row>
    <row r="159" spans="24:24" x14ac:dyDescent="0.2">
      <c r="X159" s="12">
        <f>_xlfn.MAXIFS($U$20:$U159,$T$20:$T159,"H",$U$20:$U159,"&gt;="&amp;LOOKUP(2,1/($T$20:$T159="H")),$V$20:$V159,"&lt;=$"&amp;V159)</f>
        <v>0</v>
      </c>
    </row>
    <row r="160" spans="24:24" x14ac:dyDescent="0.2">
      <c r="X160" s="12">
        <f>_xlfn.MAXIFS($U$20:$U160,$T$20:$T160,"H",$U$20:$U160,"&gt;="&amp;LOOKUP(2,1/($T$20:$T160="H")),$V$20:$V160,"&lt;=$"&amp;V160)</f>
        <v>0</v>
      </c>
    </row>
    <row r="161" spans="24:24" x14ac:dyDescent="0.2">
      <c r="X161" s="12">
        <f>_xlfn.MAXIFS($U$20:$U161,$T$20:$T161,"H",$U$20:$U161,"&gt;="&amp;LOOKUP(2,1/($T$20:$T161="H")),$V$20:$V161,"&lt;=$"&amp;V161)</f>
        <v>0</v>
      </c>
    </row>
    <row r="162" spans="24:24" x14ac:dyDescent="0.2">
      <c r="X162" s="12">
        <f>_xlfn.MAXIFS($U$20:$U162,$T$20:$T162,"H",$U$20:$U162,"&gt;="&amp;LOOKUP(2,1/($T$20:$T162="H")),$V$20:$V162,"&lt;=$"&amp;V162)</f>
        <v>0</v>
      </c>
    </row>
    <row r="163" spans="24:24" x14ac:dyDescent="0.2">
      <c r="X163" s="12">
        <f>_xlfn.MAXIFS($U$20:$U163,$T$20:$T163,"H",$U$20:$U163,"&gt;="&amp;LOOKUP(2,1/($T$20:$T163="H")),$V$20:$V163,"&lt;=$"&amp;V163)</f>
        <v>0</v>
      </c>
    </row>
    <row r="164" spans="24:24" x14ac:dyDescent="0.2">
      <c r="X164" s="12">
        <f>_xlfn.MAXIFS($U$20:$U164,$T$20:$T164,"H",$U$20:$U164,"&gt;="&amp;LOOKUP(2,1/($T$20:$T164="H")),$V$20:$V164,"&lt;=$"&amp;V164)</f>
        <v>0</v>
      </c>
    </row>
    <row r="165" spans="24:24" x14ac:dyDescent="0.2">
      <c r="X165" s="12">
        <f>_xlfn.MAXIFS($U$20:$U165,$T$20:$T165,"H",$U$20:$U165,"&gt;="&amp;LOOKUP(2,1/($T$20:$T165="H")),$V$20:$V165,"&lt;=$"&amp;V165)</f>
        <v>0</v>
      </c>
    </row>
    <row r="166" spans="24:24" x14ac:dyDescent="0.2">
      <c r="X166" s="12">
        <f>_xlfn.MAXIFS($U$20:$U166,$T$20:$T166,"H",$U$20:$U166,"&gt;="&amp;LOOKUP(2,1/($T$20:$T166="H")),$V$20:$V166,"&lt;=$"&amp;V166)</f>
        <v>0</v>
      </c>
    </row>
    <row r="167" spans="24:24" x14ac:dyDescent="0.2">
      <c r="X167" s="12">
        <f>_xlfn.MAXIFS($U$20:$U167,$T$20:$T167,"H",$U$20:$U167,"&gt;="&amp;LOOKUP(2,1/($T$20:$T167="H")),$V$20:$V167,"&lt;=$"&amp;V167)</f>
        <v>0</v>
      </c>
    </row>
    <row r="168" spans="24:24" x14ac:dyDescent="0.2">
      <c r="X168" s="12">
        <f>_xlfn.MAXIFS($U$20:$U168,$T$20:$T168,"H",$U$20:$U168,"&gt;="&amp;LOOKUP(2,1/($T$20:$T168="H")),$V$20:$V168,"&lt;=$"&amp;V168)</f>
        <v>0</v>
      </c>
    </row>
    <row r="169" spans="24:24" x14ac:dyDescent="0.2">
      <c r="X169" s="12">
        <f>_xlfn.MAXIFS($U$20:$U169,$T$20:$T169,"H",$U$20:$U169,"&gt;="&amp;LOOKUP(2,1/($T$20:$T169="H")),$V$20:$V169,"&lt;=$"&amp;V169)</f>
        <v>0</v>
      </c>
    </row>
    <row r="170" spans="24:24" x14ac:dyDescent="0.2">
      <c r="X170" s="12">
        <f>_xlfn.MAXIFS($U$20:$U170,$T$20:$T170,"H",$U$20:$U170,"&gt;="&amp;LOOKUP(2,1/($T$20:$T170="H")),$V$20:$V170,"&lt;=$"&amp;V170)</f>
        <v>0</v>
      </c>
    </row>
    <row r="171" spans="24:24" x14ac:dyDescent="0.2">
      <c r="X171" s="12">
        <f>_xlfn.MAXIFS($U$20:$U171,$T$20:$T171,"H",$U$20:$U171,"&gt;="&amp;LOOKUP(2,1/($T$20:$T171="H")),$V$20:$V171,"&lt;=$"&amp;V171)</f>
        <v>0</v>
      </c>
    </row>
    <row r="172" spans="24:24" x14ac:dyDescent="0.2">
      <c r="X172" s="12">
        <f>_xlfn.MAXIFS($U$20:$U172,$T$20:$T172,"H",$U$20:$U172,"&gt;="&amp;LOOKUP(2,1/($T$20:$T172="H")),$V$20:$V172,"&lt;=$"&amp;V172)</f>
        <v>0</v>
      </c>
    </row>
    <row r="173" spans="24:24" x14ac:dyDescent="0.2">
      <c r="X173" s="12">
        <f>_xlfn.MAXIFS($U$20:$U173,$T$20:$T173,"H",$U$20:$U173,"&gt;="&amp;LOOKUP(2,1/($T$20:$T173="H")),$V$20:$V173,"&lt;=$"&amp;V173)</f>
        <v>0</v>
      </c>
    </row>
    <row r="174" spans="24:24" x14ac:dyDescent="0.2">
      <c r="X174" s="12">
        <f>_xlfn.MAXIFS($U$20:$U174,$T$20:$T174,"H",$U$20:$U174,"&gt;="&amp;LOOKUP(2,1/($T$20:$T174="H")),$V$20:$V174,"&lt;=$"&amp;V174)</f>
        <v>0</v>
      </c>
    </row>
    <row r="175" spans="24:24" x14ac:dyDescent="0.2">
      <c r="X175" s="12">
        <f>_xlfn.MAXIFS($U$20:$U175,$T$20:$T175,"H",$U$20:$U175,"&gt;="&amp;LOOKUP(2,1/($T$20:$T175="H")),$V$20:$V175,"&lt;=$"&amp;V175)</f>
        <v>0</v>
      </c>
    </row>
    <row r="176" spans="24:24" x14ac:dyDescent="0.2">
      <c r="X176" s="12">
        <f>_xlfn.MAXIFS($U$20:$U176,$T$20:$T176,"H",$U$20:$U176,"&gt;="&amp;LOOKUP(2,1/($T$20:$T176="H")),$V$20:$V176,"&lt;=$"&amp;V176)</f>
        <v>0</v>
      </c>
    </row>
    <row r="177" spans="24:24" x14ac:dyDescent="0.2">
      <c r="X177" s="12">
        <f>_xlfn.MAXIFS($U$20:$U177,$T$20:$T177,"H",$U$20:$U177,"&gt;="&amp;LOOKUP(2,1/($T$20:$T177="H")),$V$20:$V177,"&lt;=$"&amp;V177)</f>
        <v>0</v>
      </c>
    </row>
    <row r="178" spans="24:24" x14ac:dyDescent="0.2">
      <c r="X178" s="12">
        <f>_xlfn.MAXIFS($U$20:$U178,$T$20:$T178,"H",$U$20:$U178,"&gt;="&amp;LOOKUP(2,1/($T$20:$T178="H")),$V$20:$V178,"&lt;=$"&amp;V178)</f>
        <v>0</v>
      </c>
    </row>
    <row r="179" spans="24:24" x14ac:dyDescent="0.2">
      <c r="X179" s="12">
        <f>_xlfn.MAXIFS($U$20:$U179,$T$20:$T179,"H",$U$20:$U179,"&gt;="&amp;LOOKUP(2,1/($T$20:$T179="H")),$V$20:$V179,"&lt;=$"&amp;V179)</f>
        <v>0</v>
      </c>
    </row>
    <row r="180" spans="24:24" x14ac:dyDescent="0.2">
      <c r="X180" s="12">
        <f>_xlfn.MAXIFS($U$20:$U180,$T$20:$T180,"H",$U$20:$U180,"&gt;="&amp;LOOKUP(2,1/($T$20:$T180="H")),$V$20:$V180,"&lt;=$"&amp;V180)</f>
        <v>0</v>
      </c>
    </row>
    <row r="181" spans="24:24" x14ac:dyDescent="0.2">
      <c r="X181" s="12">
        <f>_xlfn.MAXIFS($U$20:$U181,$T$20:$T181,"H",$U$20:$U181,"&gt;="&amp;LOOKUP(2,1/($T$20:$T181="H")),$V$20:$V181,"&lt;=$"&amp;V181)</f>
        <v>0</v>
      </c>
    </row>
    <row r="182" spans="24:24" x14ac:dyDescent="0.2">
      <c r="X182" s="12">
        <f>_xlfn.MAXIFS($U$20:$U182,$T$20:$T182,"H",$U$20:$U182,"&gt;="&amp;LOOKUP(2,1/($T$20:$T182="H")),$V$20:$V182,"&lt;=$"&amp;V182)</f>
        <v>0</v>
      </c>
    </row>
    <row r="183" spans="24:24" x14ac:dyDescent="0.2">
      <c r="X183" s="12">
        <f>_xlfn.MAXIFS($U$20:$U183,$T$20:$T183,"H",$U$20:$U183,"&gt;="&amp;LOOKUP(2,1/($T$20:$T183="H")),$V$20:$V183,"&lt;=$"&amp;V183)</f>
        <v>0</v>
      </c>
    </row>
    <row r="184" spans="24:24" x14ac:dyDescent="0.2">
      <c r="X184" s="12">
        <f>_xlfn.MAXIFS($U$20:$U184,$T$20:$T184,"H",$U$20:$U184,"&gt;="&amp;LOOKUP(2,1/($T$20:$T184="H")),$V$20:$V184,"&lt;=$"&amp;V184)</f>
        <v>0</v>
      </c>
    </row>
    <row r="185" spans="24:24" x14ac:dyDescent="0.2">
      <c r="X185" s="12">
        <f>_xlfn.MAXIFS($U$20:$U185,$T$20:$T185,"H",$U$20:$U185,"&gt;="&amp;LOOKUP(2,1/($T$20:$T185="H")),$V$20:$V185,"&lt;=$"&amp;V185)</f>
        <v>0</v>
      </c>
    </row>
    <row r="186" spans="24:24" x14ac:dyDescent="0.2">
      <c r="X186" s="12">
        <f>_xlfn.MAXIFS($U$20:$U186,$T$20:$T186,"H",$U$20:$U186,"&gt;="&amp;LOOKUP(2,1/($T$20:$T186="H")),$V$20:$V186,"&lt;=$"&amp;V186)</f>
        <v>0</v>
      </c>
    </row>
    <row r="187" spans="24:24" x14ac:dyDescent="0.2">
      <c r="X187" s="12">
        <f>_xlfn.MAXIFS($U$20:$U187,$T$20:$T187,"H",$U$20:$U187,"&gt;="&amp;LOOKUP(2,1/($T$20:$T187="H")),$V$20:$V187,"&lt;=$"&amp;V187)</f>
        <v>0</v>
      </c>
    </row>
    <row r="188" spans="24:24" x14ac:dyDescent="0.2">
      <c r="X188" s="12">
        <f>_xlfn.MAXIFS($U$20:$U188,$T$20:$T188,"H",$U$20:$U188,"&gt;="&amp;LOOKUP(2,1/($T$20:$T188="H")),$V$20:$V188,"&lt;=$"&amp;V188)</f>
        <v>0</v>
      </c>
    </row>
    <row r="189" spans="24:24" x14ac:dyDescent="0.2">
      <c r="X189" s="12">
        <f>_xlfn.MAXIFS($U$20:$U189,$T$20:$T189,"H",$U$20:$U189,"&gt;="&amp;LOOKUP(2,1/($T$20:$T189="H")),$V$20:$V189,"&lt;=$"&amp;V189)</f>
        <v>0</v>
      </c>
    </row>
    <row r="190" spans="24:24" x14ac:dyDescent="0.2">
      <c r="X190" s="12">
        <f>_xlfn.MAXIFS($U$20:$U190,$T$20:$T190,"H",$U$20:$U190,"&gt;="&amp;LOOKUP(2,1/($T$20:$T190="H")),$V$20:$V190,"&lt;=$"&amp;V190)</f>
        <v>0</v>
      </c>
    </row>
    <row r="191" spans="24:24" x14ac:dyDescent="0.2">
      <c r="X191" s="12">
        <f>_xlfn.MAXIFS($U$20:$U191,$T$20:$T191,"H",$U$20:$U191,"&gt;="&amp;LOOKUP(2,1/($T$20:$T191="H")),$V$20:$V191,"&lt;=$"&amp;V191)</f>
        <v>0</v>
      </c>
    </row>
    <row r="192" spans="24:24" x14ac:dyDescent="0.2">
      <c r="X192" s="12">
        <f>_xlfn.MAXIFS($U$20:$U192,$T$20:$T192,"H",$U$20:$U192,"&gt;="&amp;LOOKUP(2,1/($T$20:$T192="H")),$V$20:$V192,"&lt;=$"&amp;V192)</f>
        <v>0</v>
      </c>
    </row>
    <row r="193" spans="24:24" x14ac:dyDescent="0.2">
      <c r="X193" s="12">
        <f>_xlfn.MAXIFS($U$20:$U193,$T$20:$T193,"H",$U$20:$U193,"&gt;="&amp;LOOKUP(2,1/($T$20:$T193="H")),$V$20:$V193,"&lt;=$"&amp;V193)</f>
        <v>0</v>
      </c>
    </row>
    <row r="194" spans="24:24" x14ac:dyDescent="0.2">
      <c r="X194" s="12">
        <f>_xlfn.MAXIFS($U$20:$U194,$T$20:$T194,"H",$U$20:$U194,"&gt;="&amp;LOOKUP(2,1/($T$20:$T194="H")),$V$20:$V194,"&lt;=$"&amp;V194)</f>
        <v>0</v>
      </c>
    </row>
    <row r="195" spans="24:24" x14ac:dyDescent="0.2">
      <c r="X195" s="12">
        <f>_xlfn.MAXIFS($U$20:$U195,$T$20:$T195,"H",$U$20:$U195,"&gt;="&amp;LOOKUP(2,1/($T$20:$T195="H")),$V$20:$V195,"&lt;=$"&amp;V195)</f>
        <v>0</v>
      </c>
    </row>
    <row r="196" spans="24:24" x14ac:dyDescent="0.2">
      <c r="X196" s="12">
        <f>_xlfn.MAXIFS($U$20:$U196,$T$20:$T196,"H",$U$20:$U196,"&gt;="&amp;LOOKUP(2,1/($T$20:$T196="H")),$V$20:$V196,"&lt;=$"&amp;V196)</f>
        <v>0</v>
      </c>
    </row>
    <row r="197" spans="24:24" x14ac:dyDescent="0.2">
      <c r="X197" s="12">
        <f>_xlfn.MAXIFS($U$20:$U197,$T$20:$T197,"H",$U$20:$U197,"&gt;="&amp;LOOKUP(2,1/($T$20:$T197="H")),$V$20:$V197,"&lt;=$"&amp;V197)</f>
        <v>0</v>
      </c>
    </row>
    <row r="198" spans="24:24" x14ac:dyDescent="0.2">
      <c r="X198" s="12">
        <f>_xlfn.MAXIFS($U$20:$U198,$T$20:$T198,"H",$U$20:$U198,"&gt;="&amp;LOOKUP(2,1/($T$20:$T198="H")),$V$20:$V198,"&lt;=$"&amp;V198)</f>
        <v>0</v>
      </c>
    </row>
    <row r="199" spans="24:24" x14ac:dyDescent="0.2">
      <c r="X199" s="12">
        <f>_xlfn.MAXIFS($U$20:$U199,$T$20:$T199,"H",$U$20:$U199,"&gt;="&amp;LOOKUP(2,1/($T$20:$T199="H")),$V$20:$V199,"&lt;=$"&amp;V199)</f>
        <v>0</v>
      </c>
    </row>
    <row r="200" spans="24:24" x14ac:dyDescent="0.2">
      <c r="X200" s="12">
        <f>_xlfn.MAXIFS($U$20:$U200,$T$20:$T200,"H",$U$20:$U200,"&gt;="&amp;LOOKUP(2,1/($T$20:$T200="H")),$V$20:$V200,"&lt;=$"&amp;V200)</f>
        <v>0</v>
      </c>
    </row>
    <row r="201" spans="24:24" x14ac:dyDescent="0.2">
      <c r="X201" s="12">
        <f>_xlfn.MAXIFS($U$20:$U201,$T$20:$T201,"H",$U$20:$U201,"&gt;="&amp;LOOKUP(2,1/($T$20:$T201="H")),$V$20:$V201,"&lt;=$"&amp;V201)</f>
        <v>0</v>
      </c>
    </row>
    <row r="202" spans="24:24" x14ac:dyDescent="0.2">
      <c r="X202" s="12">
        <f>_xlfn.MAXIFS($U$20:$U202,$T$20:$T202,"H",$U$20:$U202,"&gt;="&amp;LOOKUP(2,1/($T$20:$T202="H")),$V$20:$V202,"&lt;=$"&amp;V202)</f>
        <v>0</v>
      </c>
    </row>
    <row r="203" spans="24:24" x14ac:dyDescent="0.2">
      <c r="X203" s="12">
        <f>_xlfn.MAXIFS($U$20:$U203,$T$20:$T203,"H",$U$20:$U203,"&gt;="&amp;LOOKUP(2,1/($T$20:$T203="H")),$V$20:$V203,"&lt;=$"&amp;V203)</f>
        <v>0</v>
      </c>
    </row>
    <row r="204" spans="24:24" x14ac:dyDescent="0.2">
      <c r="X204" s="12">
        <f>_xlfn.MAXIFS($U$20:$U204,$T$20:$T204,"H",$U$20:$U204,"&gt;="&amp;LOOKUP(2,1/($T$20:$T204="H")),$V$20:$V204,"&lt;=$"&amp;V204)</f>
        <v>0</v>
      </c>
    </row>
    <row r="205" spans="24:24" x14ac:dyDescent="0.2">
      <c r="X205" s="12">
        <f>_xlfn.MAXIFS($U$20:$U205,$T$20:$T205,"H",$U$20:$U205,"&gt;="&amp;LOOKUP(2,1/($T$20:$T205="H")),$V$20:$V205,"&lt;=$"&amp;V205)</f>
        <v>0</v>
      </c>
    </row>
    <row r="206" spans="24:24" x14ac:dyDescent="0.2">
      <c r="X206" s="12">
        <f>_xlfn.MAXIFS($U$20:$U206,$T$20:$T206,"H",$U$20:$U206,"&gt;="&amp;LOOKUP(2,1/($T$20:$T206="H")),$V$20:$V206,"&lt;=$"&amp;V206)</f>
        <v>0</v>
      </c>
    </row>
    <row r="207" spans="24:24" x14ac:dyDescent="0.2">
      <c r="X207" s="12">
        <f>_xlfn.MAXIFS($U$20:$U207,$T$20:$T207,"H",$U$20:$U207,"&gt;="&amp;LOOKUP(2,1/($T$20:$T207="H")),$V$20:$V207,"&lt;=$"&amp;V207)</f>
        <v>0</v>
      </c>
    </row>
    <row r="208" spans="24:24" x14ac:dyDescent="0.2">
      <c r="X208" s="12">
        <f>_xlfn.MAXIFS($U$20:$U208,$T$20:$T208,"H",$U$20:$U208,"&gt;="&amp;LOOKUP(2,1/($T$20:$T208="H")),$V$20:$V208,"&lt;=$"&amp;V208)</f>
        <v>0</v>
      </c>
    </row>
    <row r="209" spans="24:24" x14ac:dyDescent="0.2">
      <c r="X209" s="12">
        <f>_xlfn.MAXIFS($U$20:$U209,$T$20:$T209,"H",$U$20:$U209,"&gt;="&amp;LOOKUP(2,1/($T$20:$T209="H")),$V$20:$V209,"&lt;=$"&amp;V209)</f>
        <v>0</v>
      </c>
    </row>
    <row r="210" spans="24:24" x14ac:dyDescent="0.2">
      <c r="X210" s="12">
        <f>_xlfn.MAXIFS($U$20:$U210,$T$20:$T210,"H",$U$20:$U210,"&gt;="&amp;LOOKUP(2,1/($T$20:$T210="H")),$V$20:$V210,"&lt;=$"&amp;V210)</f>
        <v>0</v>
      </c>
    </row>
    <row r="211" spans="24:24" x14ac:dyDescent="0.2">
      <c r="X211" s="12">
        <f>_xlfn.MAXIFS($U$20:$U211,$T$20:$T211,"H",$U$20:$U211,"&gt;="&amp;LOOKUP(2,1/($T$20:$T211="H")),$V$20:$V211,"&lt;=$"&amp;V211)</f>
        <v>0</v>
      </c>
    </row>
    <row r="212" spans="24:24" x14ac:dyDescent="0.2">
      <c r="X212" s="12">
        <f>_xlfn.MAXIFS($U$20:$U212,$T$20:$T212,"H",$U$20:$U212,"&gt;="&amp;LOOKUP(2,1/($T$20:$T212="H")),$V$20:$V212,"&lt;=$"&amp;V212)</f>
        <v>0</v>
      </c>
    </row>
    <row r="213" spans="24:24" x14ac:dyDescent="0.2">
      <c r="X213" s="12">
        <f>_xlfn.MAXIFS($U$20:$U213,$T$20:$T213,"H",$U$20:$U213,"&gt;="&amp;LOOKUP(2,1/($T$20:$T213="H")),$V$20:$V213,"&lt;=$"&amp;V213)</f>
        <v>0</v>
      </c>
    </row>
    <row r="214" spans="24:24" x14ac:dyDescent="0.2">
      <c r="X214" s="12">
        <f>_xlfn.MAXIFS($U$20:$U214,$T$20:$T214,"H",$U$20:$U214,"&gt;="&amp;LOOKUP(2,1/($T$20:$T214="H")),$V$20:$V214,"&lt;=$"&amp;V214)</f>
        <v>0</v>
      </c>
    </row>
    <row r="215" spans="24:24" x14ac:dyDescent="0.2">
      <c r="X215" s="12">
        <f>_xlfn.MAXIFS($U$20:$U215,$T$20:$T215,"H",$U$20:$U215,"&gt;="&amp;LOOKUP(2,1/($T$20:$T215="H")),$V$20:$V215,"&lt;=$"&amp;V215)</f>
        <v>0</v>
      </c>
    </row>
    <row r="216" spans="24:24" x14ac:dyDescent="0.2">
      <c r="X216" s="12">
        <f>_xlfn.MAXIFS($U$20:$U216,$T$20:$T216,"H",$U$20:$U216,"&gt;="&amp;LOOKUP(2,1/($T$20:$T216="H")),$V$20:$V216,"&lt;=$"&amp;V216)</f>
        <v>0</v>
      </c>
    </row>
    <row r="217" spans="24:24" x14ac:dyDescent="0.2">
      <c r="X217" s="12">
        <f>_xlfn.MAXIFS($U$20:$U217,$T$20:$T217,"H",$U$20:$U217,"&gt;="&amp;LOOKUP(2,1/($T$20:$T217="H")),$V$20:$V217,"&lt;=$"&amp;V217)</f>
        <v>0</v>
      </c>
    </row>
    <row r="218" spans="24:24" x14ac:dyDescent="0.2">
      <c r="X218" s="12">
        <f>_xlfn.MAXIFS($U$20:$U218,$T$20:$T218,"H",$U$20:$U218,"&gt;="&amp;LOOKUP(2,1/($T$20:$T218="H")),$V$20:$V218,"&lt;=$"&amp;V218)</f>
        <v>0</v>
      </c>
    </row>
    <row r="219" spans="24:24" x14ac:dyDescent="0.2">
      <c r="X219" s="12">
        <f>_xlfn.MAXIFS($U$20:$U219,$T$20:$T219,"H",$U$20:$U219,"&gt;="&amp;LOOKUP(2,1/($T$20:$T219="H")),$V$20:$V219,"&lt;=$"&amp;V219)</f>
        <v>0</v>
      </c>
    </row>
    <row r="220" spans="24:24" x14ac:dyDescent="0.2">
      <c r="X220" s="12">
        <f>_xlfn.MAXIFS($U$20:$U220,$T$20:$T220,"H",$U$20:$U220,"&gt;="&amp;LOOKUP(2,1/($T$20:$T220="H")),$V$20:$V220,"&lt;=$"&amp;V220)</f>
        <v>0</v>
      </c>
    </row>
    <row r="221" spans="24:24" x14ac:dyDescent="0.2">
      <c r="X221" s="12">
        <f>_xlfn.MAXIFS($U$20:$U221,$T$20:$T221,"H",$U$20:$U221,"&gt;="&amp;LOOKUP(2,1/($T$20:$T221="H")),$V$20:$V221,"&lt;=$"&amp;V221)</f>
        <v>0</v>
      </c>
    </row>
    <row r="222" spans="24:24" x14ac:dyDescent="0.2">
      <c r="X222" s="12">
        <f>_xlfn.MAXIFS($U$20:$U222,$T$20:$T222,"H",$U$20:$U222,"&gt;="&amp;LOOKUP(2,1/($T$20:$T222="H")),$V$20:$V222,"&lt;=$"&amp;V222)</f>
        <v>0</v>
      </c>
    </row>
    <row r="223" spans="24:24" x14ac:dyDescent="0.2">
      <c r="X223" s="12">
        <f>_xlfn.MAXIFS($U$20:$U223,$T$20:$T223,"H",$U$20:$U223,"&gt;="&amp;LOOKUP(2,1/($T$20:$T223="H")),$V$20:$V223,"&lt;=$"&amp;V223)</f>
        <v>0</v>
      </c>
    </row>
    <row r="224" spans="24:24" x14ac:dyDescent="0.2">
      <c r="X224" s="12">
        <f>_xlfn.MAXIFS($U$20:$U224,$T$20:$T224,"H",$U$20:$U224,"&gt;="&amp;LOOKUP(2,1/($T$20:$T224="H")),$V$20:$V224,"&lt;=$"&amp;V224)</f>
        <v>0</v>
      </c>
    </row>
    <row r="225" spans="24:24" x14ac:dyDescent="0.2">
      <c r="X225" s="12">
        <f>_xlfn.MAXIFS($U$20:$U225,$T$20:$T225,"H",$U$20:$U225,"&gt;="&amp;LOOKUP(2,1/($T$20:$T225="H")),$V$20:$V225,"&lt;=$"&amp;V225)</f>
        <v>0</v>
      </c>
    </row>
    <row r="226" spans="24:24" x14ac:dyDescent="0.2">
      <c r="X226" s="12">
        <f>_xlfn.MAXIFS($U$20:$U226,$T$20:$T226,"H",$U$20:$U226,"&gt;="&amp;LOOKUP(2,1/($T$20:$T226="H")),$V$20:$V226,"&lt;=$"&amp;V226)</f>
        <v>0</v>
      </c>
    </row>
    <row r="227" spans="24:24" x14ac:dyDescent="0.2">
      <c r="X227" s="12">
        <f>_xlfn.MAXIFS($U$20:$U227,$T$20:$T227,"H",$U$20:$U227,"&gt;="&amp;LOOKUP(2,1/($T$20:$T227="H")),$V$20:$V227,"&lt;=$"&amp;V227)</f>
        <v>0</v>
      </c>
    </row>
    <row r="228" spans="24:24" x14ac:dyDescent="0.2">
      <c r="X228" s="12">
        <f>_xlfn.MAXIFS($U$20:$U228,$T$20:$T228,"H",$U$20:$U228,"&gt;="&amp;LOOKUP(2,1/($T$20:$T228="H")),$V$20:$V228,"&lt;=$"&amp;V228)</f>
        <v>0</v>
      </c>
    </row>
    <row r="229" spans="24:24" x14ac:dyDescent="0.2">
      <c r="X229" s="12">
        <f>_xlfn.MAXIFS($U$20:$U229,$T$20:$T229,"H",$U$20:$U229,"&gt;="&amp;LOOKUP(2,1/($T$20:$T229="H")),$V$20:$V229,"&lt;=$"&amp;V229)</f>
        <v>0</v>
      </c>
    </row>
    <row r="230" spans="24:24" x14ac:dyDescent="0.2">
      <c r="X230" s="12">
        <f>_xlfn.MAXIFS($U$20:$U230,$T$20:$T230,"H",$U$20:$U230,"&gt;="&amp;LOOKUP(2,1/($T$20:$T230="H")),$V$20:$V230,"&lt;=$"&amp;V230)</f>
        <v>0</v>
      </c>
    </row>
    <row r="231" spans="24:24" x14ac:dyDescent="0.2">
      <c r="X231" s="12">
        <f>_xlfn.MAXIFS($U$20:$U231,$T$20:$T231,"H",$U$20:$U231,"&gt;="&amp;LOOKUP(2,1/($T$20:$T231="H")),$V$20:$V231,"&lt;=$"&amp;V231)</f>
        <v>0</v>
      </c>
    </row>
    <row r="232" spans="24:24" x14ac:dyDescent="0.2">
      <c r="X232" s="12">
        <f>_xlfn.MAXIFS($U$20:$U232,$T$20:$T232,"H",$U$20:$U232,"&gt;="&amp;LOOKUP(2,1/($T$20:$T232="H")),$V$20:$V232,"&lt;=$"&amp;V232)</f>
        <v>0</v>
      </c>
    </row>
    <row r="233" spans="24:24" x14ac:dyDescent="0.2">
      <c r="X233" s="12">
        <f>_xlfn.MAXIFS($U$20:$U233,$T$20:$T233,"H",$U$20:$U233,"&gt;="&amp;LOOKUP(2,1/($T$20:$T233="H")),$V$20:$V233,"&lt;=$"&amp;V233)</f>
        <v>0</v>
      </c>
    </row>
    <row r="234" spans="24:24" x14ac:dyDescent="0.2">
      <c r="X234" s="12">
        <f>_xlfn.MAXIFS($U$20:$U234,$T$20:$T234,"H",$U$20:$U234,"&gt;="&amp;LOOKUP(2,1/($T$20:$T234="H")),$V$20:$V234,"&lt;=$"&amp;V234)</f>
        <v>0</v>
      </c>
    </row>
    <row r="235" spans="24:24" x14ac:dyDescent="0.2">
      <c r="X235" s="12">
        <f>_xlfn.MAXIFS($U$20:$U235,$T$20:$T235,"H",$U$20:$U235,"&gt;="&amp;LOOKUP(2,1/($T$20:$T235="H")),$V$20:$V235,"&lt;=$"&amp;V235)</f>
        <v>0</v>
      </c>
    </row>
    <row r="236" spans="24:24" x14ac:dyDescent="0.2">
      <c r="X236" s="12">
        <f>_xlfn.MAXIFS($U$20:$U236,$T$20:$T236,"H",$U$20:$U236,"&gt;="&amp;LOOKUP(2,1/($T$20:$T236="H")),$V$20:$V236,"&lt;=$"&amp;V236)</f>
        <v>0</v>
      </c>
    </row>
    <row r="237" spans="24:24" x14ac:dyDescent="0.2">
      <c r="X237" s="12">
        <f>_xlfn.MAXIFS($U$20:$U237,$T$20:$T237,"H",$U$20:$U237,"&gt;="&amp;LOOKUP(2,1/($T$20:$T237="H")),$V$20:$V237,"&lt;=$"&amp;V237)</f>
        <v>0</v>
      </c>
    </row>
    <row r="238" spans="24:24" x14ac:dyDescent="0.2">
      <c r="X238" s="12">
        <f>_xlfn.MAXIFS($U$20:$U238,$T$20:$T238,"H",$U$20:$U238,"&gt;="&amp;LOOKUP(2,1/($T$20:$T238="H")),$V$20:$V238,"&lt;=$"&amp;V238)</f>
        <v>0</v>
      </c>
    </row>
    <row r="239" spans="24:24" x14ac:dyDescent="0.2">
      <c r="X239" s="12">
        <f>_xlfn.MAXIFS($U$20:$U239,$T$20:$T239,"H",$U$20:$U239,"&gt;="&amp;LOOKUP(2,1/($T$20:$T239="H")),$V$20:$V239,"&lt;=$"&amp;V239)</f>
        <v>0</v>
      </c>
    </row>
    <row r="240" spans="24:24" x14ac:dyDescent="0.2">
      <c r="X240" s="12">
        <f>_xlfn.MAXIFS($U$20:$U240,$T$20:$T240,"H",$U$20:$U240,"&gt;="&amp;LOOKUP(2,1/($T$20:$T240="H")),$V$20:$V240,"&lt;=$"&amp;V240)</f>
        <v>0</v>
      </c>
    </row>
    <row r="241" spans="24:24" x14ac:dyDescent="0.2">
      <c r="X241" s="12">
        <f>_xlfn.MAXIFS($U$20:$U241,$T$20:$T241,"H",$U$20:$U241,"&gt;="&amp;LOOKUP(2,1/($T$20:$T241="H")),$V$20:$V241,"&lt;=$"&amp;V241)</f>
        <v>0</v>
      </c>
    </row>
    <row r="242" spans="24:24" x14ac:dyDescent="0.2">
      <c r="X242" s="12">
        <f>_xlfn.MAXIFS($U$20:$U242,$T$20:$T242,"H",$U$20:$U242,"&gt;="&amp;LOOKUP(2,1/($T$20:$T242="H")),$V$20:$V242,"&lt;=$"&amp;V242)</f>
        <v>0</v>
      </c>
    </row>
    <row r="243" spans="24:24" x14ac:dyDescent="0.2">
      <c r="X243" s="12">
        <f>_xlfn.MAXIFS($U$20:$U243,$T$20:$T243,"H",$U$20:$U243,"&gt;="&amp;LOOKUP(2,1/($T$20:$T243="H")),$V$20:$V243,"&lt;=$"&amp;V243)</f>
        <v>0</v>
      </c>
    </row>
    <row r="244" spans="24:24" x14ac:dyDescent="0.2">
      <c r="X244" s="12">
        <f>_xlfn.MAXIFS($U$20:$U244,$T$20:$T244,"H",$U$20:$U244,"&gt;="&amp;LOOKUP(2,1/($T$20:$T244="H")),$V$20:$V244,"&lt;=$"&amp;V244)</f>
        <v>0</v>
      </c>
    </row>
    <row r="245" spans="24:24" x14ac:dyDescent="0.2">
      <c r="X245" s="12">
        <f>_xlfn.MAXIFS($U$20:$U245,$T$20:$T245,"H",$U$20:$U245,"&gt;="&amp;LOOKUP(2,1/($T$20:$T245="H")),$V$20:$V245,"&lt;=$"&amp;V245)</f>
        <v>0</v>
      </c>
    </row>
    <row r="246" spans="24:24" x14ac:dyDescent="0.2">
      <c r="X246" s="12">
        <f>_xlfn.MAXIFS($U$20:$U246,$T$20:$T246,"H",$U$20:$U246,"&gt;="&amp;LOOKUP(2,1/($T$20:$T246="H")),$V$20:$V246,"&lt;=$"&amp;V246)</f>
        <v>0</v>
      </c>
    </row>
    <row r="247" spans="24:24" x14ac:dyDescent="0.2">
      <c r="X247" s="12">
        <f>_xlfn.MAXIFS($U$20:$U247,$T$20:$T247,"H",$U$20:$U247,"&gt;="&amp;LOOKUP(2,1/($T$20:$T247="H")),$V$20:$V247,"&lt;=$"&amp;V247)</f>
        <v>0</v>
      </c>
    </row>
    <row r="248" spans="24:24" x14ac:dyDescent="0.2">
      <c r="X248" s="12">
        <f>_xlfn.MAXIFS($U$20:$U248,$T$20:$T248,"H",$U$20:$U248,"&gt;="&amp;LOOKUP(2,1/($T$20:$T248="H")),$V$20:$V248,"&lt;=$"&amp;V248)</f>
        <v>0</v>
      </c>
    </row>
    <row r="249" spans="24:24" x14ac:dyDescent="0.2">
      <c r="X249" s="12">
        <f>_xlfn.MAXIFS($U$20:$U249,$T$20:$T249,"H",$U$20:$U249,"&gt;="&amp;LOOKUP(2,1/($T$20:$T249="H")),$V$20:$V249,"&lt;=$"&amp;V249)</f>
        <v>0</v>
      </c>
    </row>
    <row r="250" spans="24:24" x14ac:dyDescent="0.2">
      <c r="X250" s="12">
        <f>_xlfn.MAXIFS($U$20:$U250,$T$20:$T250,"H",$U$20:$U250,"&gt;="&amp;LOOKUP(2,1/($T$20:$T250="H")),$V$20:$V250,"&lt;=$"&amp;V250)</f>
        <v>0</v>
      </c>
    </row>
    <row r="251" spans="24:24" x14ac:dyDescent="0.2">
      <c r="X251" s="12">
        <f>_xlfn.MAXIFS($U$20:$U251,$T$20:$T251,"H",$U$20:$U251,"&gt;="&amp;LOOKUP(2,1/($T$20:$T251="H")),$V$20:$V251,"&lt;=$"&amp;V251)</f>
        <v>0</v>
      </c>
    </row>
    <row r="252" spans="24:24" x14ac:dyDescent="0.2">
      <c r="X252" s="12">
        <f>_xlfn.MAXIFS($U$20:$U252,$T$20:$T252,"H",$U$20:$U252,"&gt;="&amp;LOOKUP(2,1/($T$20:$T252="H")),$V$20:$V252,"&lt;=$"&amp;V252)</f>
        <v>0</v>
      </c>
    </row>
    <row r="253" spans="24:24" x14ac:dyDescent="0.2">
      <c r="X253" s="12">
        <f>_xlfn.MAXIFS($U$20:$U253,$T$20:$T253,"H",$U$20:$U253,"&gt;="&amp;LOOKUP(2,1/($T$20:$T253="H")),$V$20:$V253,"&lt;=$"&amp;V253)</f>
        <v>0</v>
      </c>
    </row>
    <row r="254" spans="24:24" x14ac:dyDescent="0.2">
      <c r="X254" s="12">
        <f>_xlfn.MAXIFS($U$20:$U254,$T$20:$T254,"H",$U$20:$U254,"&gt;="&amp;LOOKUP(2,1/($T$20:$T254="H")),$V$20:$V254,"&lt;=$"&amp;V254)</f>
        <v>0</v>
      </c>
    </row>
    <row r="255" spans="24:24" x14ac:dyDescent="0.2">
      <c r="X255" s="12">
        <f>_xlfn.MAXIFS($U$20:$U255,$T$20:$T255,"H",$U$20:$U255,"&gt;="&amp;LOOKUP(2,1/($T$20:$T255="H")),$V$20:$V255,"&lt;=$"&amp;V255)</f>
        <v>0</v>
      </c>
    </row>
    <row r="256" spans="24:24" x14ac:dyDescent="0.2">
      <c r="X256" s="12">
        <f>_xlfn.MAXIFS($U$20:$U256,$T$20:$T256,"H",$U$20:$U256,"&gt;="&amp;LOOKUP(2,1/($T$20:$T256="H")),$V$20:$V256,"&lt;=$"&amp;V256)</f>
        <v>0</v>
      </c>
    </row>
    <row r="257" spans="24:24" x14ac:dyDescent="0.2">
      <c r="X257" s="12">
        <f>_xlfn.MAXIFS($U$20:$U257,$T$20:$T257,"H",$U$20:$U257,"&gt;="&amp;LOOKUP(2,1/($T$20:$T257="H")),$V$20:$V257,"&lt;=$"&amp;V257)</f>
        <v>0</v>
      </c>
    </row>
    <row r="258" spans="24:24" x14ac:dyDescent="0.2">
      <c r="X258" s="12">
        <f>_xlfn.MAXIFS($U$20:$U258,$T$20:$T258,"H",$U$20:$U258,"&gt;="&amp;LOOKUP(2,1/($T$20:$T258="H")),$V$20:$V258,"&lt;=$"&amp;V258)</f>
        <v>0</v>
      </c>
    </row>
    <row r="259" spans="24:24" x14ac:dyDescent="0.2">
      <c r="X259" s="12">
        <f>_xlfn.MAXIFS($U$20:$U259,$T$20:$T259,"H",$U$20:$U259,"&gt;="&amp;LOOKUP(2,1/($T$20:$T259="H")),$V$20:$V259,"&lt;=$"&amp;V259)</f>
        <v>0</v>
      </c>
    </row>
    <row r="260" spans="24:24" x14ac:dyDescent="0.2">
      <c r="X260" s="12">
        <f>_xlfn.MAXIFS($U$20:$U260,$T$20:$T260,"H",$U$20:$U260,"&gt;="&amp;LOOKUP(2,1/($T$20:$T260="H")),$V$20:$V260,"&lt;=$"&amp;V260)</f>
        <v>0</v>
      </c>
    </row>
    <row r="261" spans="24:24" x14ac:dyDescent="0.2">
      <c r="X261" s="12">
        <f>_xlfn.MAXIFS($U$20:$U261,$T$20:$T261,"H",$U$20:$U261,"&gt;="&amp;LOOKUP(2,1/($T$20:$T261="H")),$V$20:$V261,"&lt;=$"&amp;V261)</f>
        <v>0</v>
      </c>
    </row>
    <row r="262" spans="24:24" x14ac:dyDescent="0.2">
      <c r="X262" s="12">
        <f>_xlfn.MAXIFS($U$20:$U262,$T$20:$T262,"H",$U$20:$U262,"&gt;="&amp;LOOKUP(2,1/($T$20:$T262="H")),$V$20:$V262,"&lt;=$"&amp;V262)</f>
        <v>0</v>
      </c>
    </row>
    <row r="263" spans="24:24" x14ac:dyDescent="0.2">
      <c r="X263" s="12">
        <f>_xlfn.MAXIFS($U$20:$U263,$T$20:$T263,"H",$U$20:$U263,"&gt;="&amp;LOOKUP(2,1/($T$20:$T263="H")),$V$20:$V263,"&lt;=$"&amp;V263)</f>
        <v>0</v>
      </c>
    </row>
    <row r="264" spans="24:24" x14ac:dyDescent="0.2">
      <c r="X264" s="12">
        <f>_xlfn.MAXIFS($U$20:$U264,$T$20:$T264,"H",$U$20:$U264,"&gt;="&amp;LOOKUP(2,1/($T$20:$T264="H")),$V$20:$V264,"&lt;=$"&amp;V264)</f>
        <v>0</v>
      </c>
    </row>
    <row r="265" spans="24:24" x14ac:dyDescent="0.2">
      <c r="X265" s="12">
        <f>_xlfn.MAXIFS($U$20:$U265,$T$20:$T265,"H",$U$20:$U265,"&gt;="&amp;LOOKUP(2,1/($T$20:$T265="H")),$V$20:$V265,"&lt;=$"&amp;V265)</f>
        <v>0</v>
      </c>
    </row>
    <row r="266" spans="24:24" x14ac:dyDescent="0.2">
      <c r="X266" s="12">
        <f>_xlfn.MAXIFS($U$20:$U266,$T$20:$T266,"H",$U$20:$U266,"&gt;="&amp;LOOKUP(2,1/($T$20:$T266="H")),$V$20:$V266,"&lt;=$"&amp;V266)</f>
        <v>0</v>
      </c>
    </row>
    <row r="267" spans="24:24" x14ac:dyDescent="0.2">
      <c r="X267" s="12">
        <f>_xlfn.MAXIFS($U$20:$U267,$T$20:$T267,"H",$U$20:$U267,"&gt;="&amp;LOOKUP(2,1/($T$20:$T267="H")),$V$20:$V267,"&lt;=$"&amp;V267)</f>
        <v>0</v>
      </c>
    </row>
    <row r="268" spans="24:24" x14ac:dyDescent="0.2">
      <c r="X268" s="12">
        <f>_xlfn.MAXIFS($U$20:$U268,$T$20:$T268,"H",$U$20:$U268,"&gt;="&amp;LOOKUP(2,1/($T$20:$T268="H")),$V$20:$V268,"&lt;=$"&amp;V268)</f>
        <v>0</v>
      </c>
    </row>
    <row r="269" spans="24:24" x14ac:dyDescent="0.2">
      <c r="X269" s="12">
        <f>_xlfn.MAXIFS($U$20:$U269,$T$20:$T269,"H",$U$20:$U269,"&gt;="&amp;LOOKUP(2,1/($T$20:$T269="H")),$V$20:$V269,"&lt;=$"&amp;V269)</f>
        <v>0</v>
      </c>
    </row>
    <row r="270" spans="24:24" x14ac:dyDescent="0.2">
      <c r="X270" s="12">
        <f>_xlfn.MAXIFS($U$20:$U270,$T$20:$T270,"H",$U$20:$U270,"&gt;="&amp;LOOKUP(2,1/($T$20:$T270="H")),$V$20:$V270,"&lt;=$"&amp;V270)</f>
        <v>0</v>
      </c>
    </row>
    <row r="271" spans="24:24" x14ac:dyDescent="0.2">
      <c r="X271" s="12">
        <f>_xlfn.MAXIFS($U$20:$U271,$T$20:$T271,"H",$U$20:$U271,"&gt;="&amp;LOOKUP(2,1/($T$20:$T271="H")),$V$20:$V271,"&lt;=$"&amp;V271)</f>
        <v>0</v>
      </c>
    </row>
    <row r="272" spans="24:24" x14ac:dyDescent="0.2">
      <c r="X272" s="12">
        <f>_xlfn.MAXIFS($U$20:$U272,$T$20:$T272,"H",$U$20:$U272,"&gt;="&amp;LOOKUP(2,1/($T$20:$T272="H")),$V$20:$V272,"&lt;=$"&amp;V272)</f>
        <v>0</v>
      </c>
    </row>
    <row r="273" spans="24:24" x14ac:dyDescent="0.2">
      <c r="X273" s="12">
        <f>_xlfn.MAXIFS($U$20:$U273,$T$20:$T273,"H",$U$20:$U273,"&gt;="&amp;LOOKUP(2,1/($T$20:$T273="H")),$V$20:$V273,"&lt;=$"&amp;V273)</f>
        <v>0</v>
      </c>
    </row>
    <row r="274" spans="24:24" x14ac:dyDescent="0.2">
      <c r="X274" s="12">
        <f>_xlfn.MAXIFS($U$20:$U274,$T$20:$T274,"H",$U$20:$U274,"&gt;="&amp;LOOKUP(2,1/($T$20:$T274="H")),$V$20:$V274,"&lt;=$"&amp;V274)</f>
        <v>0</v>
      </c>
    </row>
    <row r="275" spans="24:24" x14ac:dyDescent="0.2">
      <c r="X275" s="12">
        <f>_xlfn.MAXIFS($U$20:$U275,$T$20:$T275,"H",$U$20:$U275,"&gt;="&amp;LOOKUP(2,1/($T$20:$T275="H")),$V$20:$V275,"&lt;=$"&amp;V275)</f>
        <v>0</v>
      </c>
    </row>
    <row r="276" spans="24:24" x14ac:dyDescent="0.2">
      <c r="X276" s="12">
        <f>_xlfn.MAXIFS($U$20:$U276,$T$20:$T276,"H",$U$20:$U276,"&gt;="&amp;LOOKUP(2,1/($T$20:$T276="H")),$V$20:$V276,"&lt;=$"&amp;V276)</f>
        <v>0</v>
      </c>
    </row>
    <row r="277" spans="24:24" x14ac:dyDescent="0.2">
      <c r="X277" s="12">
        <f>_xlfn.MAXIFS($U$20:$U277,$T$20:$T277,"H",$U$20:$U277,"&gt;="&amp;LOOKUP(2,1/($T$20:$T277="H")),$V$20:$V277,"&lt;=$"&amp;V277)</f>
        <v>0</v>
      </c>
    </row>
    <row r="278" spans="24:24" x14ac:dyDescent="0.2">
      <c r="X278" s="12">
        <f>_xlfn.MAXIFS($U$20:$U278,$T$20:$T278,"H",$U$20:$U278,"&gt;="&amp;LOOKUP(2,1/($T$20:$T278="H")),$V$20:$V278,"&lt;=$"&amp;V278)</f>
        <v>0</v>
      </c>
    </row>
    <row r="279" spans="24:24" x14ac:dyDescent="0.2">
      <c r="X279" s="12">
        <f>_xlfn.MAXIFS($U$20:$U279,$T$20:$T279,"H",$U$20:$U279,"&gt;="&amp;LOOKUP(2,1/($T$20:$T279="H")),$V$20:$V279,"&lt;=$"&amp;V279)</f>
        <v>0</v>
      </c>
    </row>
    <row r="280" spans="24:24" x14ac:dyDescent="0.2">
      <c r="X280" s="12">
        <f>_xlfn.MAXIFS($U$20:$U280,$T$20:$T280,"H",$U$20:$U280,"&gt;="&amp;LOOKUP(2,1/($T$20:$T280="H")),$V$20:$V280,"&lt;=$"&amp;V280)</f>
        <v>0</v>
      </c>
    </row>
    <row r="281" spans="24:24" x14ac:dyDescent="0.2">
      <c r="X281" s="12">
        <f>_xlfn.MAXIFS($U$20:$U281,$T$20:$T281,"H",$U$20:$U281,"&gt;="&amp;LOOKUP(2,1/($T$20:$T281="H")),$V$20:$V281,"&lt;=$"&amp;V281)</f>
        <v>0</v>
      </c>
    </row>
    <row r="282" spans="24:24" x14ac:dyDescent="0.2">
      <c r="X282" s="12">
        <f>_xlfn.MAXIFS($U$20:$U282,$T$20:$T282,"H",$U$20:$U282,"&gt;="&amp;LOOKUP(2,1/($T$20:$T282="H")),$V$20:$V282,"&lt;=$"&amp;V282)</f>
        <v>0</v>
      </c>
    </row>
    <row r="283" spans="24:24" x14ac:dyDescent="0.2">
      <c r="X283" s="12">
        <f>_xlfn.MAXIFS($U$20:$U283,$T$20:$T283,"H",$U$20:$U283,"&gt;="&amp;LOOKUP(2,1/($T$20:$T283="H")),$V$20:$V283,"&lt;=$"&amp;V283)</f>
        <v>0</v>
      </c>
    </row>
    <row r="284" spans="24:24" x14ac:dyDescent="0.2">
      <c r="X284" s="12">
        <f>_xlfn.MAXIFS($U$20:$U284,$T$20:$T284,"H",$U$20:$U284,"&gt;="&amp;LOOKUP(2,1/($T$20:$T284="H")),$V$20:$V284,"&lt;=$"&amp;V284)</f>
        <v>0</v>
      </c>
    </row>
    <row r="285" spans="24:24" x14ac:dyDescent="0.2">
      <c r="X285" s="12">
        <f>_xlfn.MAXIFS($U$20:$U285,$T$20:$T285,"H",$U$20:$U285,"&gt;="&amp;LOOKUP(2,1/($T$20:$T285="H")),$V$20:$V285,"&lt;=$"&amp;V285)</f>
        <v>0</v>
      </c>
    </row>
    <row r="286" spans="24:24" x14ac:dyDescent="0.2">
      <c r="X286" s="12">
        <f>_xlfn.MAXIFS($U$20:$U286,$T$20:$T286,"H",$U$20:$U286,"&gt;="&amp;LOOKUP(2,1/($T$20:$T286="H")),$V$20:$V286,"&lt;=$"&amp;V286)</f>
        <v>0</v>
      </c>
    </row>
    <row r="287" spans="24:24" x14ac:dyDescent="0.2">
      <c r="X287" s="12">
        <f>_xlfn.MAXIFS($U$20:$U287,$T$20:$T287,"H",$U$20:$U287,"&gt;="&amp;LOOKUP(2,1/($T$20:$T287="H")),$V$20:$V287,"&lt;=$"&amp;V287)</f>
        <v>0</v>
      </c>
    </row>
    <row r="288" spans="24:24" x14ac:dyDescent="0.2">
      <c r="X288" s="12">
        <f>_xlfn.MAXIFS($U$20:$U288,$T$20:$T288,"H",$U$20:$U288,"&gt;="&amp;LOOKUP(2,1/($T$20:$T288="H")),$V$20:$V288,"&lt;=$"&amp;V288)</f>
        <v>0</v>
      </c>
    </row>
    <row r="289" spans="24:24" x14ac:dyDescent="0.2">
      <c r="X289" s="12">
        <f>_xlfn.MAXIFS($U$20:$U289,$T$20:$T289,"H",$U$20:$U289,"&gt;="&amp;LOOKUP(2,1/($T$20:$T289="H")),$V$20:$V289,"&lt;=$"&amp;V289)</f>
        <v>0</v>
      </c>
    </row>
    <row r="290" spans="24:24" x14ac:dyDescent="0.2">
      <c r="X290" s="12">
        <f>_xlfn.MAXIFS($U$20:$U290,$T$20:$T290,"H",$U$20:$U290,"&gt;="&amp;LOOKUP(2,1/($T$20:$T290="H")),$V$20:$V290,"&lt;=$"&amp;V290)</f>
        <v>0</v>
      </c>
    </row>
    <row r="291" spans="24:24" x14ac:dyDescent="0.2">
      <c r="X291" s="12">
        <f>_xlfn.MAXIFS($U$20:$U291,$T$20:$T291,"H",$U$20:$U291,"&gt;="&amp;LOOKUP(2,1/($T$20:$T291="H")),$V$20:$V291,"&lt;=$"&amp;V291)</f>
        <v>0</v>
      </c>
    </row>
    <row r="292" spans="24:24" x14ac:dyDescent="0.2">
      <c r="X292" s="12">
        <f>_xlfn.MAXIFS($U$20:$U292,$T$20:$T292,"H",$U$20:$U292,"&gt;="&amp;LOOKUP(2,1/($T$20:$T292="H")),$V$20:$V292,"&lt;=$"&amp;V292)</f>
        <v>0</v>
      </c>
    </row>
    <row r="293" spans="24:24" x14ac:dyDescent="0.2">
      <c r="X293" s="12">
        <f>_xlfn.MAXIFS($U$20:$U293,$T$20:$T293,"H",$U$20:$U293,"&gt;="&amp;LOOKUP(2,1/($T$20:$T293="H")),$V$20:$V293,"&lt;=$"&amp;V293)</f>
        <v>0</v>
      </c>
    </row>
    <row r="294" spans="24:24" x14ac:dyDescent="0.2">
      <c r="X294" s="12">
        <f>_xlfn.MAXIFS($U$20:$U294,$T$20:$T294,"H",$U$20:$U294,"&gt;="&amp;LOOKUP(2,1/($T$20:$T294="H")),$V$20:$V294,"&lt;=$"&amp;V294)</f>
        <v>0</v>
      </c>
    </row>
    <row r="295" spans="24:24" x14ac:dyDescent="0.2">
      <c r="X295" s="12">
        <f>_xlfn.MAXIFS($U$20:$U295,$T$20:$T295,"H",$U$20:$U295,"&gt;="&amp;LOOKUP(2,1/($T$20:$T295="H")),$V$20:$V295,"&lt;=$"&amp;V295)</f>
        <v>0</v>
      </c>
    </row>
    <row r="296" spans="24:24" x14ac:dyDescent="0.2">
      <c r="X296" s="12">
        <f>_xlfn.MAXIFS($U$20:$U296,$T$20:$T296,"H",$U$20:$U296,"&gt;="&amp;LOOKUP(2,1/($T$20:$T296="H")),$V$20:$V296,"&lt;=$"&amp;V296)</f>
        <v>0</v>
      </c>
    </row>
    <row r="297" spans="24:24" x14ac:dyDescent="0.2">
      <c r="X297" s="12">
        <f>_xlfn.MAXIFS($U$20:$U297,$T$20:$T297,"H",$U$20:$U297,"&gt;="&amp;LOOKUP(2,1/($T$20:$T297="H")),$V$20:$V297,"&lt;=$"&amp;V297)</f>
        <v>0</v>
      </c>
    </row>
    <row r="298" spans="24:24" x14ac:dyDescent="0.2">
      <c r="X298" s="12">
        <f>_xlfn.MAXIFS($U$20:$U298,$T$20:$T298,"H",$U$20:$U298,"&gt;="&amp;LOOKUP(2,1/($T$20:$T298="H")),$V$20:$V298,"&lt;=$"&amp;V298)</f>
        <v>0</v>
      </c>
    </row>
    <row r="299" spans="24:24" x14ac:dyDescent="0.2">
      <c r="X299" s="12">
        <f>_xlfn.MAXIFS($U$20:$U299,$T$20:$T299,"H",$U$20:$U299,"&gt;="&amp;LOOKUP(2,1/($T$20:$T299="H")),$V$20:$V299,"&lt;=$"&amp;V299)</f>
        <v>0</v>
      </c>
    </row>
    <row r="300" spans="24:24" x14ac:dyDescent="0.2">
      <c r="X300" s="12">
        <f>_xlfn.MAXIFS($U$20:$U300,$T$20:$T300,"H",$U$20:$U300,"&gt;="&amp;LOOKUP(2,1/($T$20:$T300="H")),$V$20:$V300,"&lt;=$"&amp;V300)</f>
        <v>0</v>
      </c>
    </row>
    <row r="301" spans="24:24" x14ac:dyDescent="0.2">
      <c r="X301" s="12">
        <f>_xlfn.MAXIFS($U$20:$U301,$T$20:$T301,"H",$U$20:$U301,"&gt;="&amp;LOOKUP(2,1/($T$20:$T301="H")),$V$20:$V301,"&lt;=$"&amp;V301)</f>
        <v>0</v>
      </c>
    </row>
    <row r="302" spans="24:24" x14ac:dyDescent="0.2">
      <c r="X302" s="12">
        <f>_xlfn.MAXIFS($U$20:$U302,$T$20:$T302,"H",$U$20:$U302,"&gt;="&amp;LOOKUP(2,1/($T$20:$T302="H")),$V$20:$V302,"&lt;=$"&amp;V302)</f>
        <v>0</v>
      </c>
    </row>
    <row r="303" spans="24:24" x14ac:dyDescent="0.2">
      <c r="X303" s="12">
        <f>_xlfn.MAXIFS($U$20:$U303,$T$20:$T303,"H",$U$20:$U303,"&gt;="&amp;LOOKUP(2,1/($T$20:$T303="H")),$V$20:$V303,"&lt;=$"&amp;V303)</f>
        <v>0</v>
      </c>
    </row>
    <row r="304" spans="24:24" x14ac:dyDescent="0.2">
      <c r="X304" s="12">
        <f>_xlfn.MAXIFS($U$20:$U304,$T$20:$T304,"H",$U$20:$U304,"&gt;="&amp;LOOKUP(2,1/($T$20:$T304="H")),$V$20:$V304,"&lt;=$"&amp;V304)</f>
        <v>0</v>
      </c>
    </row>
    <row r="305" spans="24:24" x14ac:dyDescent="0.2">
      <c r="X305" s="12">
        <f>_xlfn.MAXIFS($U$20:$U305,$T$20:$T305,"H",$U$20:$U305,"&gt;="&amp;LOOKUP(2,1/($T$20:$T305="H")),$V$20:$V305,"&lt;=$"&amp;V305)</f>
        <v>0</v>
      </c>
    </row>
    <row r="306" spans="24:24" x14ac:dyDescent="0.2">
      <c r="X306" s="12">
        <f>_xlfn.MAXIFS($U$20:$U306,$T$20:$T306,"H",$U$20:$U306,"&gt;="&amp;LOOKUP(2,1/($T$20:$T306="H")),$V$20:$V306,"&lt;=$"&amp;V306)</f>
        <v>0</v>
      </c>
    </row>
    <row r="307" spans="24:24" x14ac:dyDescent="0.2">
      <c r="X307" s="12">
        <f>_xlfn.MAXIFS($U$20:$U307,$T$20:$T307,"H",$U$20:$U307,"&gt;="&amp;LOOKUP(2,1/($T$20:$T307="H")),$V$20:$V307,"&lt;=$"&amp;V307)</f>
        <v>0</v>
      </c>
    </row>
    <row r="308" spans="24:24" x14ac:dyDescent="0.2">
      <c r="X308" s="12">
        <f>_xlfn.MAXIFS($U$20:$U308,$T$20:$T308,"H",$U$20:$U308,"&gt;="&amp;LOOKUP(2,1/($T$20:$T308="H")),$V$20:$V308,"&lt;=$"&amp;V308)</f>
        <v>0</v>
      </c>
    </row>
    <row r="309" spans="24:24" x14ac:dyDescent="0.2">
      <c r="X309" s="12">
        <f>_xlfn.MAXIFS($U$20:$U309,$T$20:$T309,"H",$U$20:$U309,"&gt;="&amp;LOOKUP(2,1/($T$20:$T309="H")),$V$20:$V309,"&lt;=$"&amp;V309)</f>
        <v>0</v>
      </c>
    </row>
    <row r="310" spans="24:24" x14ac:dyDescent="0.2">
      <c r="X310" s="12">
        <f>_xlfn.MAXIFS($U$20:$U310,$T$20:$T310,"H",$U$20:$U310,"&gt;="&amp;LOOKUP(2,1/($T$20:$T310="H")),$V$20:$V310,"&lt;=$"&amp;V310)</f>
        <v>0</v>
      </c>
    </row>
    <row r="311" spans="24:24" x14ac:dyDescent="0.2">
      <c r="X311" s="12">
        <f>_xlfn.MAXIFS($U$20:$U311,$T$20:$T311,"H",$U$20:$U311,"&gt;="&amp;LOOKUP(2,1/($T$20:$T311="H")),$V$20:$V311,"&lt;=$"&amp;V311)</f>
        <v>0</v>
      </c>
    </row>
    <row r="312" spans="24:24" x14ac:dyDescent="0.2">
      <c r="X312" s="12">
        <f>_xlfn.MAXIFS($U$20:$U312,$T$20:$T312,"H",$U$20:$U312,"&gt;="&amp;LOOKUP(2,1/($T$20:$T312="H")),$V$20:$V312,"&lt;=$"&amp;V312)</f>
        <v>0</v>
      </c>
    </row>
    <row r="313" spans="24:24" x14ac:dyDescent="0.2">
      <c r="X313" s="12">
        <f>_xlfn.MAXIFS($U$20:$U313,$T$20:$T313,"H",$U$20:$U313,"&gt;="&amp;LOOKUP(2,1/($T$20:$T313="H")),$V$20:$V313,"&lt;=$"&amp;V313)</f>
        <v>0</v>
      </c>
    </row>
    <row r="314" spans="24:24" x14ac:dyDescent="0.2">
      <c r="X314" s="12">
        <f>_xlfn.MAXIFS($U$20:$U314,$T$20:$T314,"H",$U$20:$U314,"&gt;="&amp;LOOKUP(2,1/($T$20:$T314="H")),$V$20:$V314,"&lt;=$"&amp;V314)</f>
        <v>0</v>
      </c>
    </row>
    <row r="315" spans="24:24" x14ac:dyDescent="0.2">
      <c r="X315" s="12">
        <f>_xlfn.MAXIFS($U$20:$U315,$T$20:$T315,"H",$U$20:$U315,"&gt;="&amp;LOOKUP(2,1/($T$20:$T315="H")),$V$20:$V315,"&lt;=$"&amp;V315)</f>
        <v>0</v>
      </c>
    </row>
    <row r="316" spans="24:24" x14ac:dyDescent="0.2">
      <c r="X316" s="12">
        <f>_xlfn.MAXIFS($U$20:$U316,$T$20:$T316,"H",$U$20:$U316,"&gt;="&amp;LOOKUP(2,1/($T$20:$T316="H")),$V$20:$V316,"&lt;=$"&amp;V316)</f>
        <v>0</v>
      </c>
    </row>
    <row r="317" spans="24:24" x14ac:dyDescent="0.2">
      <c r="X317" s="12">
        <f>_xlfn.MAXIFS($U$20:$U317,$T$20:$T317,"H",$U$20:$U317,"&gt;="&amp;LOOKUP(2,1/($T$20:$T317="H")),$V$20:$V317,"&lt;=$"&amp;V317)</f>
        <v>0</v>
      </c>
    </row>
    <row r="318" spans="24:24" x14ac:dyDescent="0.2">
      <c r="X318" s="12">
        <f>_xlfn.MAXIFS($U$20:$U318,$T$20:$T318,"H",$U$20:$U318,"&gt;="&amp;LOOKUP(2,1/($T$20:$T318="H")),$V$20:$V318,"&lt;=$"&amp;V318)</f>
        <v>0</v>
      </c>
    </row>
    <row r="319" spans="24:24" x14ac:dyDescent="0.2">
      <c r="X319" s="12">
        <f>_xlfn.MAXIFS($U$20:$U319,$T$20:$T319,"H",$U$20:$U319,"&gt;="&amp;LOOKUP(2,1/($T$20:$T319="H")),$V$20:$V319,"&lt;=$"&amp;V319)</f>
        <v>0</v>
      </c>
    </row>
    <row r="320" spans="24:24" x14ac:dyDescent="0.2">
      <c r="X320" s="12">
        <f>_xlfn.MAXIFS($U$20:$U320,$T$20:$T320,"H",$U$20:$U320,"&gt;="&amp;LOOKUP(2,1/($T$20:$T320="H")),$V$20:$V320,"&lt;=$"&amp;V320)</f>
        <v>0</v>
      </c>
    </row>
    <row r="321" spans="24:24" x14ac:dyDescent="0.2">
      <c r="X321" s="12">
        <f>_xlfn.MAXIFS($U$20:$U321,$T$20:$T321,"H",$U$20:$U321,"&gt;="&amp;LOOKUP(2,1/($T$20:$T321="H")),$V$20:$V321,"&lt;=$"&amp;V321)</f>
        <v>0</v>
      </c>
    </row>
    <row r="322" spans="24:24" x14ac:dyDescent="0.2">
      <c r="X322" s="12">
        <f>_xlfn.MAXIFS($U$20:$U322,$T$20:$T322,"H",$U$20:$U322,"&gt;="&amp;LOOKUP(2,1/($T$20:$T322="H")),$V$20:$V322,"&lt;=$"&amp;V322)</f>
        <v>0</v>
      </c>
    </row>
    <row r="323" spans="24:24" x14ac:dyDescent="0.2">
      <c r="X323" s="12">
        <f>_xlfn.MAXIFS($U$20:$U323,$T$20:$T323,"H",$U$20:$U323,"&gt;="&amp;LOOKUP(2,1/($T$20:$T323="H")),$V$20:$V323,"&lt;=$"&amp;V323)</f>
        <v>0</v>
      </c>
    </row>
    <row r="324" spans="24:24" x14ac:dyDescent="0.2">
      <c r="X324" s="12">
        <f>_xlfn.MAXIFS($U$20:$U324,$T$20:$T324,"H",$U$20:$U324,"&gt;="&amp;LOOKUP(2,1/($T$20:$T324="H")),$V$20:$V324,"&lt;=$"&amp;V324)</f>
        <v>0</v>
      </c>
    </row>
    <row r="325" spans="24:24" x14ac:dyDescent="0.2">
      <c r="X325" s="12">
        <f>_xlfn.MAXIFS($U$20:$U325,$T$20:$T325,"H",$U$20:$U325,"&gt;="&amp;LOOKUP(2,1/($T$20:$T325="H")),$V$20:$V325,"&lt;=$"&amp;V325)</f>
        <v>0</v>
      </c>
    </row>
    <row r="326" spans="24:24" x14ac:dyDescent="0.2">
      <c r="X326" s="12">
        <f>_xlfn.MAXIFS($U$20:$U326,$T$20:$T326,"H",$U$20:$U326,"&gt;="&amp;LOOKUP(2,1/($T$20:$T326="H")),$V$20:$V326,"&lt;=$"&amp;V326)</f>
        <v>0</v>
      </c>
    </row>
    <row r="327" spans="24:24" x14ac:dyDescent="0.2">
      <c r="X327" s="12">
        <f>_xlfn.MAXIFS($U$20:$U327,$T$20:$T327,"H",$U$20:$U327,"&gt;="&amp;LOOKUP(2,1/($T$20:$T327="H")),$V$20:$V327,"&lt;=$"&amp;V327)</f>
        <v>0</v>
      </c>
    </row>
    <row r="328" spans="24:24" x14ac:dyDescent="0.2">
      <c r="X328" s="12">
        <f>_xlfn.MAXIFS($U$20:$U328,$T$20:$T328,"H",$U$20:$U328,"&gt;="&amp;LOOKUP(2,1/($T$20:$T328="H")),$V$20:$V328,"&lt;=$"&amp;V328)</f>
        <v>0</v>
      </c>
    </row>
    <row r="329" spans="24:24" x14ac:dyDescent="0.2">
      <c r="X329" s="12">
        <f>_xlfn.MAXIFS($U$20:$U329,$T$20:$T329,"H",$U$20:$U329,"&gt;="&amp;LOOKUP(2,1/($T$20:$T329="H")),$V$20:$V329,"&lt;=$"&amp;V329)</f>
        <v>0</v>
      </c>
    </row>
    <row r="330" spans="24:24" x14ac:dyDescent="0.2">
      <c r="X330" s="12">
        <f>_xlfn.MAXIFS($U$20:$U330,$T$20:$T330,"H",$U$20:$U330,"&gt;="&amp;LOOKUP(2,1/($T$20:$T330="H")),$V$20:$V330,"&lt;=$"&amp;V330)</f>
        <v>0</v>
      </c>
    </row>
    <row r="331" spans="24:24" x14ac:dyDescent="0.2">
      <c r="X331" s="12">
        <f>_xlfn.MAXIFS($U$20:$U331,$T$20:$T331,"H",$U$20:$U331,"&gt;="&amp;LOOKUP(2,1/($T$20:$T331="H")),$V$20:$V331,"&lt;=$"&amp;V331)</f>
        <v>0</v>
      </c>
    </row>
    <row r="332" spans="24:24" x14ac:dyDescent="0.2">
      <c r="X332" s="12">
        <f>_xlfn.MAXIFS($U$20:$U332,$T$20:$T332,"H",$U$20:$U332,"&gt;="&amp;LOOKUP(2,1/($T$20:$T332="H")),$V$20:$V332,"&lt;=$"&amp;V332)</f>
        <v>0</v>
      </c>
    </row>
    <row r="333" spans="24:24" x14ac:dyDescent="0.2">
      <c r="X333" s="12">
        <f>_xlfn.MAXIFS($U$20:$U333,$T$20:$T333,"H",$U$20:$U333,"&gt;="&amp;LOOKUP(2,1/($T$20:$T333="H")),$V$20:$V333,"&lt;=$"&amp;V333)</f>
        <v>0</v>
      </c>
    </row>
    <row r="334" spans="24:24" x14ac:dyDescent="0.2">
      <c r="X334" s="12">
        <f>_xlfn.MAXIFS($U$20:$U334,$T$20:$T334,"H",$U$20:$U334,"&gt;="&amp;LOOKUP(2,1/($T$20:$T334="H")),$V$20:$V334,"&lt;=$"&amp;V334)</f>
        <v>0</v>
      </c>
    </row>
    <row r="335" spans="24:24" x14ac:dyDescent="0.2">
      <c r="X335" s="12">
        <f>_xlfn.MAXIFS($U$20:$U335,$T$20:$T335,"H",$U$20:$U335,"&gt;="&amp;LOOKUP(2,1/($T$20:$T335="H")),$V$20:$V335,"&lt;=$"&amp;V335)</f>
        <v>0</v>
      </c>
    </row>
    <row r="336" spans="24:24" x14ac:dyDescent="0.2">
      <c r="X336" s="12">
        <f>_xlfn.MAXIFS($U$20:$U336,$T$20:$T336,"H",$U$20:$U336,"&gt;="&amp;LOOKUP(2,1/($T$20:$T336="H")),$V$20:$V336,"&lt;=$"&amp;V336)</f>
        <v>0</v>
      </c>
    </row>
    <row r="337" spans="24:24" x14ac:dyDescent="0.2">
      <c r="X337" s="12">
        <f>_xlfn.MAXIFS($U$20:$U337,$T$20:$T337,"H",$U$20:$U337,"&gt;="&amp;LOOKUP(2,1/($T$20:$T337="H")),$V$20:$V337,"&lt;=$"&amp;V337)</f>
        <v>0</v>
      </c>
    </row>
    <row r="338" spans="24:24" x14ac:dyDescent="0.2">
      <c r="X338" s="12">
        <f>_xlfn.MAXIFS($U$20:$U338,$T$20:$T338,"H",$U$20:$U338,"&gt;="&amp;LOOKUP(2,1/($T$20:$T338="H")),$V$20:$V338,"&lt;=$"&amp;V338)</f>
        <v>0</v>
      </c>
    </row>
    <row r="339" spans="24:24" x14ac:dyDescent="0.2">
      <c r="X339" s="12">
        <f>_xlfn.MAXIFS($U$20:$U339,$T$20:$T339,"H",$U$20:$U339,"&gt;="&amp;LOOKUP(2,1/($T$20:$T339="H")),$V$20:$V339,"&lt;=$"&amp;V339)</f>
        <v>0</v>
      </c>
    </row>
    <row r="340" spans="24:24" x14ac:dyDescent="0.2">
      <c r="X340" s="12">
        <f>_xlfn.MAXIFS($U$20:$U340,$T$20:$T340,"H",$U$20:$U340,"&gt;="&amp;LOOKUP(2,1/($T$20:$T340="H")),$V$20:$V340,"&lt;=$"&amp;V340)</f>
        <v>0</v>
      </c>
    </row>
    <row r="341" spans="24:24" x14ac:dyDescent="0.2">
      <c r="X341" s="12">
        <f>_xlfn.MAXIFS($U$20:$U341,$T$20:$T341,"H",$U$20:$U341,"&gt;="&amp;LOOKUP(2,1/($T$20:$T341="H")),$V$20:$V341,"&lt;=$"&amp;V341)</f>
        <v>0</v>
      </c>
    </row>
    <row r="342" spans="24:24" x14ac:dyDescent="0.2">
      <c r="X342" s="12">
        <f>_xlfn.MAXIFS($U$20:$U342,$T$20:$T342,"H",$U$20:$U342,"&gt;="&amp;LOOKUP(2,1/($T$20:$T342="H")),$V$20:$V342,"&lt;=$"&amp;V342)</f>
        <v>0</v>
      </c>
    </row>
    <row r="343" spans="24:24" x14ac:dyDescent="0.2">
      <c r="X343" s="12">
        <f>_xlfn.MAXIFS($U$20:$U343,$T$20:$T343,"H",$U$20:$U343,"&gt;="&amp;LOOKUP(2,1/($T$20:$T343="H")),$V$20:$V343,"&lt;=$"&amp;V343)</f>
        <v>0</v>
      </c>
    </row>
    <row r="344" spans="24:24" x14ac:dyDescent="0.2">
      <c r="X344" s="12">
        <f>_xlfn.MAXIFS($U$20:$U344,$T$20:$T344,"H",$U$20:$U344,"&gt;="&amp;LOOKUP(2,1/($T$20:$T344="H")),$V$20:$V344,"&lt;=$"&amp;V344)</f>
        <v>0</v>
      </c>
    </row>
    <row r="345" spans="24:24" x14ac:dyDescent="0.2">
      <c r="X345" s="12">
        <f>_xlfn.MAXIFS($U$20:$U345,$T$20:$T345,"H",$U$20:$U345,"&gt;="&amp;LOOKUP(2,1/($T$20:$T345="H")),$V$20:$V345,"&lt;=$"&amp;V345)</f>
        <v>0</v>
      </c>
    </row>
    <row r="346" spans="24:24" x14ac:dyDescent="0.2">
      <c r="X346" s="12">
        <f>_xlfn.MAXIFS($U$20:$U346,$T$20:$T346,"H",$U$20:$U346,"&gt;="&amp;LOOKUP(2,1/($T$20:$T346="H")),$V$20:$V346,"&lt;=$"&amp;V346)</f>
        <v>0</v>
      </c>
    </row>
    <row r="347" spans="24:24" x14ac:dyDescent="0.2">
      <c r="X347" s="12">
        <f>_xlfn.MAXIFS($U$20:$U347,$T$20:$T347,"H",$U$20:$U347,"&gt;="&amp;LOOKUP(2,1/($T$20:$T347="H")),$V$20:$V347,"&lt;=$"&amp;V347)</f>
        <v>0</v>
      </c>
    </row>
    <row r="348" spans="24:24" x14ac:dyDescent="0.2">
      <c r="X348" s="12">
        <f>_xlfn.MAXIFS($U$20:$U348,$T$20:$T348,"H",$U$20:$U348,"&gt;="&amp;LOOKUP(2,1/($T$20:$T348="H")),$V$20:$V348,"&lt;=$"&amp;V348)</f>
        <v>0</v>
      </c>
    </row>
    <row r="349" spans="24:24" x14ac:dyDescent="0.2">
      <c r="X349" s="12">
        <f>_xlfn.MAXIFS($U$20:$U349,$T$20:$T349,"H",$U$20:$U349,"&gt;="&amp;LOOKUP(2,1/($T$20:$T349="H")),$V$20:$V349,"&lt;=$"&amp;V349)</f>
        <v>0</v>
      </c>
    </row>
    <row r="350" spans="24:24" x14ac:dyDescent="0.2">
      <c r="X350" s="12">
        <f>_xlfn.MAXIFS($U$20:$U350,$T$20:$T350,"H",$U$20:$U350,"&gt;="&amp;LOOKUP(2,1/($T$20:$T350="H")),$V$20:$V350,"&lt;=$"&amp;V350)</f>
        <v>0</v>
      </c>
    </row>
    <row r="351" spans="24:24" x14ac:dyDescent="0.2">
      <c r="X351" s="12">
        <f>_xlfn.MAXIFS($U$20:$U351,$T$20:$T351,"H",$U$20:$U351,"&gt;="&amp;LOOKUP(2,1/($T$20:$T351="H")),$V$20:$V351,"&lt;=$"&amp;V351)</f>
        <v>0</v>
      </c>
    </row>
    <row r="352" spans="24:24" x14ac:dyDescent="0.2">
      <c r="X352" s="12">
        <f>_xlfn.MAXIFS($U$20:$U352,$T$20:$T352,"H",$U$20:$U352,"&gt;="&amp;LOOKUP(2,1/($T$20:$T352="H")),$V$20:$V352,"&lt;=$"&amp;V352)</f>
        <v>0</v>
      </c>
    </row>
    <row r="353" spans="24:24" x14ac:dyDescent="0.2">
      <c r="X353" s="12">
        <f>_xlfn.MAXIFS($U$20:$U353,$T$20:$T353,"H",$U$20:$U353,"&gt;="&amp;LOOKUP(2,1/($T$20:$T353="H")),$V$20:$V353,"&lt;=$"&amp;V353)</f>
        <v>0</v>
      </c>
    </row>
    <row r="354" spans="24:24" x14ac:dyDescent="0.2">
      <c r="X354" s="12">
        <f>_xlfn.MAXIFS($U$20:$U354,$T$20:$T354,"H",$U$20:$U354,"&gt;="&amp;LOOKUP(2,1/($T$20:$T354="H")),$V$20:$V354,"&lt;=$"&amp;V354)</f>
        <v>0</v>
      </c>
    </row>
    <row r="355" spans="24:24" x14ac:dyDescent="0.2">
      <c r="X355" s="12">
        <f>_xlfn.MAXIFS($U$20:$U355,$T$20:$T355,"H",$U$20:$U355,"&gt;="&amp;LOOKUP(2,1/($T$20:$T355="H")),$V$20:$V355,"&lt;=$"&amp;V355)</f>
        <v>0</v>
      </c>
    </row>
    <row r="356" spans="24:24" x14ac:dyDescent="0.2">
      <c r="X356" s="12">
        <f>_xlfn.MAXIFS($U$20:$U356,$T$20:$T356,"H",$U$20:$U356,"&gt;="&amp;LOOKUP(2,1/($T$20:$T356="H")),$V$20:$V356,"&lt;=$"&amp;V356)</f>
        <v>0</v>
      </c>
    </row>
    <row r="357" spans="24:24" x14ac:dyDescent="0.2">
      <c r="X357" s="12">
        <f>_xlfn.MAXIFS($U$20:$U357,$T$20:$T357,"H",$U$20:$U357,"&gt;="&amp;LOOKUP(2,1/($T$20:$T357="H")),$V$20:$V357,"&lt;=$"&amp;V357)</f>
        <v>0</v>
      </c>
    </row>
    <row r="358" spans="24:24" x14ac:dyDescent="0.2">
      <c r="X358" s="12">
        <f>_xlfn.MAXIFS($U$20:$U358,$T$20:$T358,"H",$U$20:$U358,"&gt;="&amp;LOOKUP(2,1/($T$20:$T358="H")),$V$20:$V358,"&lt;=$"&amp;V358)</f>
        <v>0</v>
      </c>
    </row>
    <row r="359" spans="24:24" x14ac:dyDescent="0.2">
      <c r="X359" s="12">
        <f>_xlfn.MAXIFS($U$20:$U359,$T$20:$T359,"H",$U$20:$U359,"&gt;="&amp;LOOKUP(2,1/($T$20:$T359="H")),$V$20:$V359,"&lt;=$"&amp;V359)</f>
        <v>0</v>
      </c>
    </row>
    <row r="360" spans="24:24" x14ac:dyDescent="0.2">
      <c r="X360" s="12">
        <f>_xlfn.MAXIFS($U$20:$U360,$T$20:$T360,"H",$U$20:$U360,"&gt;="&amp;LOOKUP(2,1/($T$20:$T360="H")),$V$20:$V360,"&lt;=$"&amp;V360)</f>
        <v>0</v>
      </c>
    </row>
    <row r="361" spans="24:24" x14ac:dyDescent="0.2">
      <c r="X361" s="12">
        <f>_xlfn.MAXIFS($U$20:$U361,$T$20:$T361,"H",$U$20:$U361,"&gt;="&amp;LOOKUP(2,1/($T$20:$T361="H")),$V$20:$V361,"&lt;=$"&amp;V361)</f>
        <v>0</v>
      </c>
    </row>
    <row r="362" spans="24:24" x14ac:dyDescent="0.2">
      <c r="X362" s="12">
        <f>_xlfn.MAXIFS($U$20:$U362,$T$20:$T362,"H",$U$20:$U362,"&gt;="&amp;LOOKUP(2,1/($T$20:$T362="H")),$V$20:$V362,"&lt;=$"&amp;V362)</f>
        <v>0</v>
      </c>
    </row>
    <row r="363" spans="24:24" x14ac:dyDescent="0.2">
      <c r="X363" s="12">
        <f>_xlfn.MAXIFS($U$20:$U363,$T$20:$T363,"H",$U$20:$U363,"&gt;="&amp;LOOKUP(2,1/($T$20:$T363="H")),$V$20:$V363,"&lt;=$"&amp;V363)</f>
        <v>0</v>
      </c>
    </row>
    <row r="364" spans="24:24" x14ac:dyDescent="0.2">
      <c r="X364" s="12">
        <f>_xlfn.MAXIFS($U$20:$U364,$T$20:$T364,"H",$U$20:$U364,"&gt;="&amp;LOOKUP(2,1/($T$20:$T364="H")),$V$20:$V364,"&lt;=$"&amp;V364)</f>
        <v>0</v>
      </c>
    </row>
    <row r="365" spans="24:24" x14ac:dyDescent="0.2">
      <c r="X365" s="12">
        <f>_xlfn.MAXIFS($U$20:$U365,$T$20:$T365,"H",$U$20:$U365,"&gt;="&amp;LOOKUP(2,1/($T$20:$T365="H")),$V$20:$V365,"&lt;=$"&amp;V365)</f>
        <v>0</v>
      </c>
    </row>
    <row r="366" spans="24:24" x14ac:dyDescent="0.2">
      <c r="X366" s="12">
        <f>_xlfn.MAXIFS($U$20:$U366,$T$20:$T366,"H",$U$20:$U366,"&gt;="&amp;LOOKUP(2,1/($T$20:$T366="H")),$V$20:$V366,"&lt;=$"&amp;V366)</f>
        <v>0</v>
      </c>
    </row>
    <row r="367" spans="24:24" x14ac:dyDescent="0.2">
      <c r="X367" s="12">
        <f>_xlfn.MAXIFS($U$20:$U367,$T$20:$T367,"H",$U$20:$U367,"&gt;="&amp;LOOKUP(2,1/($T$20:$T367="H")),$V$20:$V367,"&lt;=$"&amp;V367)</f>
        <v>0</v>
      </c>
    </row>
    <row r="368" spans="24:24" x14ac:dyDescent="0.2">
      <c r="X368" s="12">
        <f>_xlfn.MAXIFS($U$20:$U368,$T$20:$T368,"H",$U$20:$U368,"&gt;="&amp;LOOKUP(2,1/($T$20:$T368="H")),$V$20:$V368,"&lt;=$"&amp;V368)</f>
        <v>0</v>
      </c>
    </row>
    <row r="369" spans="24:24" x14ac:dyDescent="0.2">
      <c r="X369" s="12">
        <f>_xlfn.MAXIFS($U$20:$U369,$T$20:$T369,"H",$U$20:$U369,"&gt;="&amp;LOOKUP(2,1/($T$20:$T369="H")),$V$20:$V369,"&lt;=$"&amp;V369)</f>
        <v>0</v>
      </c>
    </row>
    <row r="370" spans="24:24" x14ac:dyDescent="0.2">
      <c r="X370" s="12">
        <f>_xlfn.MAXIFS($U$20:$U370,$T$20:$T370,"H",$U$20:$U370,"&gt;="&amp;LOOKUP(2,1/($T$20:$T370="H")),$V$20:$V370,"&lt;=$"&amp;V370)</f>
        <v>0</v>
      </c>
    </row>
    <row r="371" spans="24:24" x14ac:dyDescent="0.2">
      <c r="X371" s="12">
        <f>_xlfn.MAXIFS($U$20:$U371,$T$20:$T371,"H",$U$20:$U371,"&gt;="&amp;LOOKUP(2,1/($T$20:$T371="H")),$V$20:$V371,"&lt;=$"&amp;V371)</f>
        <v>0</v>
      </c>
    </row>
    <row r="372" spans="24:24" x14ac:dyDescent="0.2">
      <c r="X372" s="12">
        <f>_xlfn.MAXIFS($U$20:$U372,$T$20:$T372,"H",$U$20:$U372,"&gt;="&amp;LOOKUP(2,1/($T$20:$T372="H")),$V$20:$V372,"&lt;=$"&amp;V372)</f>
        <v>0</v>
      </c>
    </row>
    <row r="373" spans="24:24" x14ac:dyDescent="0.2">
      <c r="X373" s="12">
        <f>_xlfn.MAXIFS($U$20:$U373,$T$20:$T373,"H",$U$20:$U373,"&gt;="&amp;LOOKUP(2,1/($T$20:$T373="H")),$V$20:$V373,"&lt;=$"&amp;V373)</f>
        <v>0</v>
      </c>
    </row>
    <row r="374" spans="24:24" x14ac:dyDescent="0.2">
      <c r="X374" s="12">
        <f>_xlfn.MAXIFS($U$20:$U374,$T$20:$T374,"H",$U$20:$U374,"&gt;="&amp;LOOKUP(2,1/($T$20:$T374="H")),$V$20:$V374,"&lt;=$"&amp;V374)</f>
        <v>0</v>
      </c>
    </row>
    <row r="375" spans="24:24" x14ac:dyDescent="0.2">
      <c r="X375" s="12">
        <f>_xlfn.MAXIFS($U$20:$U375,$T$20:$T375,"H",$U$20:$U375,"&gt;="&amp;LOOKUP(2,1/($T$20:$T375="H")),$V$20:$V375,"&lt;=$"&amp;V375)</f>
        <v>0</v>
      </c>
    </row>
    <row r="376" spans="24:24" x14ac:dyDescent="0.2">
      <c r="X376" s="12">
        <f>_xlfn.MAXIFS($U$20:$U376,$T$20:$T376,"H",$U$20:$U376,"&gt;="&amp;LOOKUP(2,1/($T$20:$T376="H")),$V$20:$V376,"&lt;=$"&amp;V376)</f>
        <v>0</v>
      </c>
    </row>
    <row r="377" spans="24:24" x14ac:dyDescent="0.2">
      <c r="X377" s="12">
        <f>_xlfn.MAXIFS($U$20:$U377,$T$20:$T377,"H",$U$20:$U377,"&gt;="&amp;LOOKUP(2,1/($T$20:$T377="H")),$V$20:$V377,"&lt;=$"&amp;V377)</f>
        <v>0</v>
      </c>
    </row>
    <row r="378" spans="24:24" x14ac:dyDescent="0.2">
      <c r="X378" s="12">
        <f>_xlfn.MAXIFS($U$20:$U378,$T$20:$T378,"H",$U$20:$U378,"&gt;="&amp;LOOKUP(2,1/($T$20:$T378="H")),$V$20:$V378,"&lt;=$"&amp;V378)</f>
        <v>0</v>
      </c>
    </row>
    <row r="379" spans="24:24" x14ac:dyDescent="0.2">
      <c r="X379" s="12">
        <f>_xlfn.MAXIFS($U$20:$U379,$T$20:$T379,"H",$U$20:$U379,"&gt;="&amp;LOOKUP(2,1/($T$20:$T379="H")),$V$20:$V379,"&lt;=$"&amp;V379)</f>
        <v>0</v>
      </c>
    </row>
    <row r="380" spans="24:24" x14ac:dyDescent="0.2">
      <c r="X380" s="12">
        <f>_xlfn.MAXIFS($U$20:$U380,$T$20:$T380,"H",$U$20:$U380,"&gt;="&amp;LOOKUP(2,1/($T$20:$T380="H")),$V$20:$V380,"&lt;=$"&amp;V380)</f>
        <v>0</v>
      </c>
    </row>
    <row r="381" spans="24:24" x14ac:dyDescent="0.2">
      <c r="X381" s="12">
        <f>_xlfn.MAXIFS($U$20:$U381,$T$20:$T381,"H",$U$20:$U381,"&gt;="&amp;LOOKUP(2,1/($T$20:$T381="H")),$V$20:$V381,"&lt;=$"&amp;V381)</f>
        <v>0</v>
      </c>
    </row>
    <row r="382" spans="24:24" x14ac:dyDescent="0.2">
      <c r="X382" s="12">
        <f>_xlfn.MAXIFS($U$20:$U382,$T$20:$T382,"H",$U$20:$U382,"&gt;="&amp;LOOKUP(2,1/($T$20:$T382="H")),$V$20:$V382,"&lt;=$"&amp;V382)</f>
        <v>0</v>
      </c>
    </row>
    <row r="383" spans="24:24" x14ac:dyDescent="0.2">
      <c r="X383" s="12">
        <f>_xlfn.MAXIFS($U$20:$U383,$T$20:$T383,"H",$U$20:$U383,"&gt;="&amp;LOOKUP(2,1/($T$20:$T383="H")),$V$20:$V383,"&lt;=$"&amp;V383)</f>
        <v>0</v>
      </c>
    </row>
    <row r="384" spans="24:24" x14ac:dyDescent="0.2">
      <c r="X384" s="12">
        <f>_xlfn.MAXIFS($U$20:$U384,$T$20:$T384,"H",$U$20:$U384,"&gt;="&amp;LOOKUP(2,1/($T$20:$T384="H")),$V$20:$V384,"&lt;=$"&amp;V384)</f>
        <v>0</v>
      </c>
    </row>
    <row r="385" spans="24:24" x14ac:dyDescent="0.2">
      <c r="X385" s="12">
        <f>_xlfn.MAXIFS($U$20:$U385,$T$20:$T385,"H",$U$20:$U385,"&gt;="&amp;LOOKUP(2,1/($T$20:$T385="H")),$V$20:$V385,"&lt;=$"&amp;V385)</f>
        <v>0</v>
      </c>
    </row>
    <row r="386" spans="24:24" x14ac:dyDescent="0.2">
      <c r="X386" s="12">
        <f>_xlfn.MAXIFS($U$20:$U386,$T$20:$T386,"H",$U$20:$U386,"&gt;="&amp;LOOKUP(2,1/($T$20:$T386="H")),$V$20:$V386,"&lt;=$"&amp;V386)</f>
        <v>0</v>
      </c>
    </row>
    <row r="387" spans="24:24" x14ac:dyDescent="0.2">
      <c r="X387" s="12">
        <f>_xlfn.MAXIFS($U$20:$U387,$T$20:$T387,"H",$U$20:$U387,"&gt;="&amp;LOOKUP(2,1/($T$20:$T387="H")),$V$20:$V387,"&lt;=$"&amp;V387)</f>
        <v>0</v>
      </c>
    </row>
    <row r="388" spans="24:24" x14ac:dyDescent="0.2">
      <c r="X388" s="12">
        <f>_xlfn.MAXIFS($U$20:$U388,$T$20:$T388,"H",$U$20:$U388,"&gt;="&amp;LOOKUP(2,1/($T$20:$T388="H")),$V$20:$V388,"&lt;=$"&amp;V388)</f>
        <v>0</v>
      </c>
    </row>
    <row r="389" spans="24:24" x14ac:dyDescent="0.2">
      <c r="X389" s="12">
        <f>_xlfn.MAXIFS($U$20:$U389,$T$20:$T389,"H",$U$20:$U389,"&gt;="&amp;LOOKUP(2,1/($T$20:$T389="H")),$V$20:$V389,"&lt;=$"&amp;V389)</f>
        <v>0</v>
      </c>
    </row>
    <row r="390" spans="24:24" x14ac:dyDescent="0.2">
      <c r="X390" s="12">
        <f>_xlfn.MAXIFS($U$20:$U390,$T$20:$T390,"H",$U$20:$U390,"&gt;="&amp;LOOKUP(2,1/($T$20:$T390="H")),$V$20:$V390,"&lt;=$"&amp;V390)</f>
        <v>0</v>
      </c>
    </row>
    <row r="391" spans="24:24" x14ac:dyDescent="0.2">
      <c r="X391" s="12">
        <f>_xlfn.MAXIFS($U$20:$U391,$T$20:$T391,"H",$U$20:$U391,"&gt;="&amp;LOOKUP(2,1/($T$20:$T391="H")),$V$20:$V391,"&lt;=$"&amp;V391)</f>
        <v>0</v>
      </c>
    </row>
    <row r="392" spans="24:24" x14ac:dyDescent="0.2">
      <c r="X392" s="12">
        <f>_xlfn.MAXIFS($U$20:$U392,$T$20:$T392,"H",$U$20:$U392,"&gt;="&amp;LOOKUP(2,1/($T$20:$T392="H")),$V$20:$V392,"&lt;=$"&amp;V392)</f>
        <v>0</v>
      </c>
    </row>
    <row r="393" spans="24:24" x14ac:dyDescent="0.2">
      <c r="X393" s="12">
        <f>_xlfn.MAXIFS($U$20:$U393,$T$20:$T393,"H",$U$20:$U393,"&gt;="&amp;LOOKUP(2,1/($T$20:$T393="H")),$V$20:$V393,"&lt;=$"&amp;V393)</f>
        <v>0</v>
      </c>
    </row>
    <row r="394" spans="24:24" x14ac:dyDescent="0.2">
      <c r="X394" s="12">
        <f>_xlfn.MAXIFS($U$20:$U394,$T$20:$T394,"H",$U$20:$U394,"&gt;="&amp;LOOKUP(2,1/($T$20:$T394="H")),$V$20:$V394,"&lt;=$"&amp;V394)</f>
        <v>0</v>
      </c>
    </row>
    <row r="395" spans="24:24" x14ac:dyDescent="0.2">
      <c r="X395" s="12">
        <f>_xlfn.MAXIFS($U$20:$U395,$T$20:$T395,"H",$U$20:$U395,"&gt;="&amp;LOOKUP(2,1/($T$20:$T395="H")),$V$20:$V395,"&lt;=$"&amp;V395)</f>
        <v>0</v>
      </c>
    </row>
    <row r="396" spans="24:24" x14ac:dyDescent="0.2">
      <c r="X396" s="12">
        <f>_xlfn.MAXIFS($U$20:$U396,$T$20:$T396,"H",$U$20:$U396,"&gt;="&amp;LOOKUP(2,1/($T$20:$T396="H")),$V$20:$V396,"&lt;=$"&amp;V396)</f>
        <v>0</v>
      </c>
    </row>
    <row r="397" spans="24:24" x14ac:dyDescent="0.2">
      <c r="X397" s="12">
        <f>_xlfn.MAXIFS($U$20:$U397,$T$20:$T397,"H",$U$20:$U397,"&gt;="&amp;LOOKUP(2,1/($T$20:$T397="H")),$V$20:$V397,"&lt;=$"&amp;V397)</f>
        <v>0</v>
      </c>
    </row>
    <row r="398" spans="24:24" x14ac:dyDescent="0.2">
      <c r="X398" s="12">
        <f>_xlfn.MAXIFS($U$20:$U398,$T$20:$T398,"H",$U$20:$U398,"&gt;="&amp;LOOKUP(2,1/($T$20:$T398="H")),$V$20:$V398,"&lt;=$"&amp;V398)</f>
        <v>0</v>
      </c>
    </row>
    <row r="399" spans="24:24" x14ac:dyDescent="0.2">
      <c r="X399" s="12">
        <f>_xlfn.MAXIFS($U$20:$U399,$T$20:$T399,"H",$U$20:$U399,"&gt;="&amp;LOOKUP(2,1/($T$20:$T399="H")),$V$20:$V399,"&lt;=$"&amp;V399)</f>
        <v>0</v>
      </c>
    </row>
    <row r="400" spans="24:24" x14ac:dyDescent="0.2">
      <c r="X400" s="12">
        <f>_xlfn.MAXIFS($U$20:$U400,$T$20:$T400,"H",$U$20:$U400,"&gt;="&amp;LOOKUP(2,1/($T$20:$T400="H")),$V$20:$V400,"&lt;=$"&amp;V400)</f>
        <v>0</v>
      </c>
    </row>
    <row r="401" spans="24:24" x14ac:dyDescent="0.2">
      <c r="X401" s="12">
        <f>_xlfn.MAXIFS($U$20:$U401,$T$20:$T401,"H",$U$20:$U401,"&gt;="&amp;LOOKUP(2,1/($T$20:$T401="H")),$V$20:$V401,"&lt;=$"&amp;V401)</f>
        <v>0</v>
      </c>
    </row>
    <row r="402" spans="24:24" x14ac:dyDescent="0.2">
      <c r="X402" s="12">
        <f>_xlfn.MAXIFS($U$20:$U402,$T$20:$T402,"H",$U$20:$U402,"&gt;="&amp;LOOKUP(2,1/($T$20:$T402="H")),$V$20:$V402,"&lt;=$"&amp;V402)</f>
        <v>0</v>
      </c>
    </row>
    <row r="403" spans="24:24" x14ac:dyDescent="0.2">
      <c r="X403" s="12">
        <f>_xlfn.MAXIFS($U$20:$U403,$T$20:$T403,"H",$U$20:$U403,"&gt;="&amp;LOOKUP(2,1/($T$20:$T403="H")),$V$20:$V403,"&lt;=$"&amp;V403)</f>
        <v>0</v>
      </c>
    </row>
    <row r="404" spans="24:24" x14ac:dyDescent="0.2">
      <c r="X404" s="12">
        <f>_xlfn.MAXIFS($U$20:$U404,$T$20:$T404,"H",$U$20:$U404,"&gt;="&amp;LOOKUP(2,1/($T$20:$T404="H")),$V$20:$V404,"&lt;=$"&amp;V404)</f>
        <v>0</v>
      </c>
    </row>
    <row r="405" spans="24:24" x14ac:dyDescent="0.2">
      <c r="X405" s="12">
        <f>_xlfn.MAXIFS($U$20:$U405,$T$20:$T405,"H",$U$20:$U405,"&gt;="&amp;LOOKUP(2,1/($T$20:$T405="H")),$V$20:$V405,"&lt;=$"&amp;V405)</f>
        <v>0</v>
      </c>
    </row>
    <row r="406" spans="24:24" x14ac:dyDescent="0.2">
      <c r="X406" s="12">
        <f>_xlfn.MAXIFS($U$20:$U406,$T$20:$T406,"H",$U$20:$U406,"&gt;="&amp;LOOKUP(2,1/($T$20:$T406="H")),$V$20:$V406,"&lt;=$"&amp;V406)</f>
        <v>0</v>
      </c>
    </row>
    <row r="407" spans="24:24" x14ac:dyDescent="0.2">
      <c r="X407" s="12">
        <f>_xlfn.MAXIFS($U$20:$U407,$T$20:$T407,"H",$U$20:$U407,"&gt;="&amp;LOOKUP(2,1/($T$20:$T407="H")),$V$20:$V407,"&lt;=$"&amp;V407)</f>
        <v>0</v>
      </c>
    </row>
    <row r="408" spans="24:24" x14ac:dyDescent="0.2">
      <c r="X408" s="12">
        <f>_xlfn.MAXIFS($U$20:$U408,$T$20:$T408,"H",$U$20:$U408,"&gt;="&amp;LOOKUP(2,1/($T$20:$T408="H")),$V$20:$V408,"&lt;=$"&amp;V408)</f>
        <v>0</v>
      </c>
    </row>
    <row r="409" spans="24:24" x14ac:dyDescent="0.2">
      <c r="X409" s="12">
        <f>_xlfn.MAXIFS($U$20:$U409,$T$20:$T409,"H",$U$20:$U409,"&gt;="&amp;LOOKUP(2,1/($T$20:$T409="H")),$V$20:$V409,"&lt;=$"&amp;V409)</f>
        <v>0</v>
      </c>
    </row>
    <row r="410" spans="24:24" x14ac:dyDescent="0.2">
      <c r="X410" s="12">
        <f>_xlfn.MAXIFS($U$20:$U410,$T$20:$T410,"H",$U$20:$U410,"&gt;="&amp;LOOKUP(2,1/($T$20:$T410="H")),$V$20:$V410,"&lt;=$"&amp;V410)</f>
        <v>0</v>
      </c>
    </row>
    <row r="411" spans="24:24" x14ac:dyDescent="0.2">
      <c r="X411" s="12">
        <f>_xlfn.MAXIFS($U$20:$U411,$T$20:$T411,"H",$U$20:$U411,"&gt;="&amp;LOOKUP(2,1/($T$20:$T411="H")),$V$20:$V411,"&lt;=$"&amp;V411)</f>
        <v>0</v>
      </c>
    </row>
    <row r="412" spans="24:24" x14ac:dyDescent="0.2">
      <c r="X412" s="12">
        <f>_xlfn.MAXIFS($U$20:$U412,$T$20:$T412,"H",$U$20:$U412,"&gt;="&amp;LOOKUP(2,1/($T$20:$T412="H")),$V$20:$V412,"&lt;=$"&amp;V412)</f>
        <v>0</v>
      </c>
    </row>
    <row r="413" spans="24:24" x14ac:dyDescent="0.2">
      <c r="X413" s="12">
        <f>_xlfn.MAXIFS($U$20:$U413,$T$20:$T413,"H",$U$20:$U413,"&gt;="&amp;LOOKUP(2,1/($T$20:$T413="H")),$V$20:$V413,"&lt;=$"&amp;V413)</f>
        <v>0</v>
      </c>
    </row>
    <row r="414" spans="24:24" x14ac:dyDescent="0.2">
      <c r="X414" s="12">
        <f>_xlfn.MAXIFS($U$20:$U414,$T$20:$T414,"H",$U$20:$U414,"&gt;="&amp;LOOKUP(2,1/($T$20:$T414="H")),$V$20:$V414,"&lt;=$"&amp;V414)</f>
        <v>0</v>
      </c>
    </row>
    <row r="415" spans="24:24" x14ac:dyDescent="0.2">
      <c r="X415" s="12">
        <f>_xlfn.MAXIFS($U$20:$U415,$T$20:$T415,"H",$U$20:$U415,"&gt;="&amp;LOOKUP(2,1/($T$20:$T415="H")),$V$20:$V415,"&lt;=$"&amp;V415)</f>
        <v>0</v>
      </c>
    </row>
    <row r="416" spans="24:24" x14ac:dyDescent="0.2">
      <c r="X416" s="12">
        <f>_xlfn.MAXIFS($U$20:$U416,$T$20:$T416,"H",$U$20:$U416,"&gt;="&amp;LOOKUP(2,1/($T$20:$T416="H")),$V$20:$V416,"&lt;=$"&amp;V416)</f>
        <v>0</v>
      </c>
    </row>
    <row r="417" spans="24:24" x14ac:dyDescent="0.2">
      <c r="X417" s="12">
        <f>_xlfn.MAXIFS($U$20:$U417,$T$20:$T417,"H",$U$20:$U417,"&gt;="&amp;LOOKUP(2,1/($T$20:$T417="H")),$V$20:$V417,"&lt;=$"&amp;V417)</f>
        <v>0</v>
      </c>
    </row>
    <row r="418" spans="24:24" x14ac:dyDescent="0.2">
      <c r="X418" s="12">
        <f>_xlfn.MAXIFS($U$20:$U418,$T$20:$T418,"H",$U$20:$U418,"&gt;="&amp;LOOKUP(2,1/($T$20:$T418="H")),$V$20:$V418,"&lt;=$"&amp;V418)</f>
        <v>0</v>
      </c>
    </row>
    <row r="419" spans="24:24" x14ac:dyDescent="0.2">
      <c r="X419" s="12">
        <f>_xlfn.MAXIFS($U$20:$U419,$T$20:$T419,"H",$U$20:$U419,"&gt;="&amp;LOOKUP(2,1/($T$20:$T419="H")),$V$20:$V419,"&lt;=$"&amp;V419)</f>
        <v>0</v>
      </c>
    </row>
    <row r="420" spans="24:24" x14ac:dyDescent="0.2">
      <c r="X420" s="12">
        <f>_xlfn.MAXIFS($U$20:$U420,$T$20:$T420,"H",$U$20:$U420,"&gt;="&amp;LOOKUP(2,1/($T$20:$T420="H")),$V$20:$V420,"&lt;=$"&amp;V420)</f>
        <v>0</v>
      </c>
    </row>
    <row r="421" spans="24:24" x14ac:dyDescent="0.2">
      <c r="X421" s="12">
        <f>_xlfn.MAXIFS($U$20:$U421,$T$20:$T421,"H",$U$20:$U421,"&gt;="&amp;LOOKUP(2,1/($T$20:$T421="H")),$V$20:$V421,"&lt;=$"&amp;V421)</f>
        <v>0</v>
      </c>
    </row>
    <row r="422" spans="24:24" x14ac:dyDescent="0.2">
      <c r="X422" s="12">
        <f>_xlfn.MAXIFS($U$20:$U422,$T$20:$T422,"H",$U$20:$U422,"&gt;="&amp;LOOKUP(2,1/($T$20:$T422="H")),$V$20:$V422,"&lt;=$"&amp;V422)</f>
        <v>0</v>
      </c>
    </row>
    <row r="423" spans="24:24" x14ac:dyDescent="0.2">
      <c r="X423" s="12">
        <f>_xlfn.MAXIFS($U$20:$U423,$T$20:$T423,"H",$U$20:$U423,"&gt;="&amp;LOOKUP(2,1/($T$20:$T423="H")),$V$20:$V423,"&lt;=$"&amp;V423)</f>
        <v>0</v>
      </c>
    </row>
    <row r="424" spans="24:24" x14ac:dyDescent="0.2">
      <c r="X424" s="12">
        <f>_xlfn.MAXIFS($U$20:$U424,$T$20:$T424,"H",$U$20:$U424,"&gt;="&amp;LOOKUP(2,1/($T$20:$T424="H")),$V$20:$V424,"&lt;=$"&amp;V424)</f>
        <v>0</v>
      </c>
    </row>
    <row r="425" spans="24:24" x14ac:dyDescent="0.2">
      <c r="X425" s="12">
        <f>_xlfn.MAXIFS($U$20:$U425,$T$20:$T425,"H",$U$20:$U425,"&gt;="&amp;LOOKUP(2,1/($T$20:$T425="H")),$V$20:$V425,"&lt;=$"&amp;V425)</f>
        <v>0</v>
      </c>
    </row>
    <row r="426" spans="24:24" x14ac:dyDescent="0.2">
      <c r="X426" s="12">
        <f>_xlfn.MAXIFS($U$20:$U426,$T$20:$T426,"H",$U$20:$U426,"&gt;="&amp;LOOKUP(2,1/($T$20:$T426="H")),$V$20:$V426,"&lt;=$"&amp;V426)</f>
        <v>0</v>
      </c>
    </row>
    <row r="427" spans="24:24" x14ac:dyDescent="0.2">
      <c r="X427" s="12">
        <f>_xlfn.MAXIFS($U$20:$U427,$T$20:$T427,"H",$U$20:$U427,"&gt;="&amp;LOOKUP(2,1/($T$20:$T427="H")),$V$20:$V427,"&lt;=$"&amp;V427)</f>
        <v>0</v>
      </c>
    </row>
    <row r="428" spans="24:24" x14ac:dyDescent="0.2">
      <c r="X428" s="12">
        <f>_xlfn.MAXIFS($U$20:$U428,$T$20:$T428,"H",$U$20:$U428,"&gt;="&amp;LOOKUP(2,1/($T$20:$T428="H")),$V$20:$V428,"&lt;=$"&amp;V428)</f>
        <v>0</v>
      </c>
    </row>
    <row r="429" spans="24:24" x14ac:dyDescent="0.2">
      <c r="X429" s="12">
        <f>_xlfn.MAXIFS($U$20:$U429,$T$20:$T429,"H",$U$20:$U429,"&gt;="&amp;LOOKUP(2,1/($T$20:$T429="H")),$V$20:$V429,"&lt;=$"&amp;V429)</f>
        <v>0</v>
      </c>
    </row>
    <row r="430" spans="24:24" x14ac:dyDescent="0.2">
      <c r="X430" s="12">
        <f>_xlfn.MAXIFS($U$20:$U430,$T$20:$T430,"H",$U$20:$U430,"&gt;="&amp;LOOKUP(2,1/($T$20:$T430="H")),$V$20:$V430,"&lt;=$"&amp;V430)</f>
        <v>0</v>
      </c>
    </row>
    <row r="431" spans="24:24" x14ac:dyDescent="0.2">
      <c r="X431" s="12">
        <f>_xlfn.MAXIFS($U$20:$U431,$T$20:$T431,"H",$U$20:$U431,"&gt;="&amp;LOOKUP(2,1/($T$20:$T431="H")),$V$20:$V431,"&lt;=$"&amp;V431)</f>
        <v>0</v>
      </c>
    </row>
    <row r="432" spans="24:24" x14ac:dyDescent="0.2">
      <c r="X432" s="12">
        <f>_xlfn.MAXIFS($U$20:$U432,$T$20:$T432,"H",$U$20:$U432,"&gt;="&amp;LOOKUP(2,1/($T$20:$T432="H")),$V$20:$V432,"&lt;=$"&amp;V432)</f>
        <v>0</v>
      </c>
    </row>
    <row r="433" spans="24:24" x14ac:dyDescent="0.2">
      <c r="X433" s="12">
        <f>_xlfn.MAXIFS($U$20:$U433,$T$20:$T433,"H",$U$20:$U433,"&gt;="&amp;LOOKUP(2,1/($T$20:$T433="H")),$V$20:$V433,"&lt;=$"&amp;V433)</f>
        <v>0</v>
      </c>
    </row>
    <row r="434" spans="24:24" x14ac:dyDescent="0.2">
      <c r="X434" s="12">
        <f>_xlfn.MAXIFS($U$20:$U434,$T$20:$T434,"H",$U$20:$U434,"&gt;="&amp;LOOKUP(2,1/($T$20:$T434="H")),$V$20:$V434,"&lt;=$"&amp;V434)</f>
        <v>0</v>
      </c>
    </row>
    <row r="435" spans="24:24" x14ac:dyDescent="0.2">
      <c r="X435" s="12">
        <f>_xlfn.MAXIFS($U$20:$U435,$T$20:$T435,"H",$U$20:$U435,"&gt;="&amp;LOOKUP(2,1/($T$20:$T435="H")),$V$20:$V435,"&lt;=$"&amp;V435)</f>
        <v>0</v>
      </c>
    </row>
    <row r="436" spans="24:24" x14ac:dyDescent="0.2">
      <c r="X436" s="12">
        <f>_xlfn.MAXIFS($U$20:$U436,$T$20:$T436,"H",$U$20:$U436,"&gt;="&amp;LOOKUP(2,1/($T$20:$T436="H")),$V$20:$V436,"&lt;=$"&amp;V436)</f>
        <v>0</v>
      </c>
    </row>
    <row r="437" spans="24:24" x14ac:dyDescent="0.2">
      <c r="X437" s="12">
        <f>_xlfn.MAXIFS($U$20:$U437,$T$20:$T437,"H",$U$20:$U437,"&gt;="&amp;LOOKUP(2,1/($T$20:$T437="H")),$V$20:$V437,"&lt;=$"&amp;V437)</f>
        <v>0</v>
      </c>
    </row>
    <row r="438" spans="24:24" x14ac:dyDescent="0.2">
      <c r="X438" s="12">
        <f>_xlfn.MAXIFS($U$20:$U438,$T$20:$T438,"H",$U$20:$U438,"&gt;="&amp;LOOKUP(2,1/($T$20:$T438="H")),$V$20:$V438,"&lt;=$"&amp;V438)</f>
        <v>0</v>
      </c>
    </row>
    <row r="439" spans="24:24" x14ac:dyDescent="0.2">
      <c r="X439" s="12">
        <f>_xlfn.MAXIFS($U$20:$U439,$T$20:$T439,"H",$U$20:$U439,"&gt;="&amp;LOOKUP(2,1/($T$20:$T439="H")),$V$20:$V439,"&lt;=$"&amp;V439)</f>
        <v>0</v>
      </c>
    </row>
    <row r="440" spans="24:24" x14ac:dyDescent="0.2">
      <c r="X440" s="12">
        <f>_xlfn.MAXIFS($U$20:$U440,$T$20:$T440,"H",$U$20:$U440,"&gt;="&amp;LOOKUP(2,1/($T$20:$T440="H")),$V$20:$V440,"&lt;=$"&amp;V440)</f>
        <v>0</v>
      </c>
    </row>
    <row r="441" spans="24:24" x14ac:dyDescent="0.2">
      <c r="X441" s="12">
        <f>_xlfn.MAXIFS($U$20:$U441,$T$20:$T441,"H",$U$20:$U441,"&gt;="&amp;LOOKUP(2,1/($T$20:$T441="H")),$V$20:$V441,"&lt;=$"&amp;V441)</f>
        <v>0</v>
      </c>
    </row>
    <row r="442" spans="24:24" x14ac:dyDescent="0.2">
      <c r="X442" s="12">
        <f>_xlfn.MAXIFS($U$20:$U442,$T$20:$T442,"H",$U$20:$U442,"&gt;="&amp;LOOKUP(2,1/($T$20:$T442="H")),$V$20:$V442,"&lt;=$"&amp;V442)</f>
        <v>0</v>
      </c>
    </row>
    <row r="443" spans="24:24" x14ac:dyDescent="0.2">
      <c r="X443" s="12">
        <f>_xlfn.MAXIFS($U$20:$U443,$T$20:$T443,"H",$U$20:$U443,"&gt;="&amp;LOOKUP(2,1/($T$20:$T443="H")),$V$20:$V443,"&lt;=$"&amp;V443)</f>
        <v>0</v>
      </c>
    </row>
    <row r="444" spans="24:24" x14ac:dyDescent="0.2">
      <c r="X444" s="12">
        <f>_xlfn.MAXIFS($U$20:$U444,$T$20:$T444,"H",$U$20:$U444,"&gt;="&amp;LOOKUP(2,1/($T$20:$T444="H")),$V$20:$V444,"&lt;=$"&amp;V444)</f>
        <v>0</v>
      </c>
    </row>
    <row r="445" spans="24:24" x14ac:dyDescent="0.2">
      <c r="X445" s="12">
        <f>_xlfn.MAXIFS($U$20:$U445,$T$20:$T445,"H",$U$20:$U445,"&gt;="&amp;LOOKUP(2,1/($T$20:$T445="H")),$V$20:$V445,"&lt;=$"&amp;V445)</f>
        <v>0</v>
      </c>
    </row>
    <row r="446" spans="24:24" x14ac:dyDescent="0.2">
      <c r="X446" s="12">
        <f>_xlfn.MAXIFS($U$20:$U446,$T$20:$T446,"H",$U$20:$U446,"&gt;="&amp;LOOKUP(2,1/($T$20:$T446="H")),$V$20:$V446,"&lt;=$"&amp;V446)</f>
        <v>0</v>
      </c>
    </row>
    <row r="447" spans="24:24" x14ac:dyDescent="0.2">
      <c r="X447" s="12">
        <f>_xlfn.MAXIFS($U$20:$U447,$T$20:$T447,"H",$U$20:$U447,"&gt;="&amp;LOOKUP(2,1/($T$20:$T447="H")),$V$20:$V447,"&lt;=$"&amp;V447)</f>
        <v>0</v>
      </c>
    </row>
    <row r="448" spans="24:24" x14ac:dyDescent="0.2">
      <c r="X448" s="12">
        <f>_xlfn.MAXIFS($U$20:$U448,$T$20:$T448,"H",$U$20:$U448,"&gt;="&amp;LOOKUP(2,1/($T$20:$T448="H")),$V$20:$V448,"&lt;=$"&amp;V448)</f>
        <v>0</v>
      </c>
    </row>
    <row r="449" spans="24:24" x14ac:dyDescent="0.2">
      <c r="X449" s="12">
        <f>_xlfn.MAXIFS($U$20:$U449,$T$20:$T449,"H",$U$20:$U449,"&gt;="&amp;LOOKUP(2,1/($T$20:$T449="H")),$V$20:$V449,"&lt;=$"&amp;V449)</f>
        <v>0</v>
      </c>
    </row>
    <row r="450" spans="24:24" x14ac:dyDescent="0.2">
      <c r="X450" s="12">
        <f>_xlfn.MAXIFS($U$20:$U450,$T$20:$T450,"H",$U$20:$U450,"&gt;="&amp;LOOKUP(2,1/($T$20:$T450="H")),$V$20:$V450,"&lt;=$"&amp;V450)</f>
        <v>0</v>
      </c>
    </row>
    <row r="451" spans="24:24" x14ac:dyDescent="0.2">
      <c r="X451" s="12">
        <f>_xlfn.MAXIFS($U$20:$U451,$T$20:$T451,"H",$U$20:$U451,"&gt;="&amp;LOOKUP(2,1/($T$20:$T451="H")),$V$20:$V451,"&lt;=$"&amp;V451)</f>
        <v>0</v>
      </c>
    </row>
    <row r="452" spans="24:24" x14ac:dyDescent="0.2">
      <c r="X452" s="12">
        <f>_xlfn.MAXIFS($U$20:$U452,$T$20:$T452,"H",$U$20:$U452,"&gt;="&amp;LOOKUP(2,1/($T$20:$T452="H")),$V$20:$V452,"&lt;=$"&amp;V452)</f>
        <v>0</v>
      </c>
    </row>
    <row r="453" spans="24:24" x14ac:dyDescent="0.2">
      <c r="X453" s="12">
        <f>_xlfn.MAXIFS($U$20:$U453,$T$20:$T453,"H",$U$20:$U453,"&gt;="&amp;LOOKUP(2,1/($T$20:$T453="H")),$V$20:$V453,"&lt;=$"&amp;V453)</f>
        <v>0</v>
      </c>
    </row>
    <row r="454" spans="24:24" x14ac:dyDescent="0.2">
      <c r="X454" s="12">
        <f>_xlfn.MAXIFS($U$20:$U454,$T$20:$T454,"H",$U$20:$U454,"&gt;="&amp;LOOKUP(2,1/($T$20:$T454="H")),$V$20:$V454,"&lt;=$"&amp;V454)</f>
        <v>0</v>
      </c>
    </row>
    <row r="455" spans="24:24" x14ac:dyDescent="0.2">
      <c r="X455" s="12">
        <f>_xlfn.MAXIFS($U$20:$U455,$T$20:$T455,"H",$U$20:$U455,"&gt;="&amp;LOOKUP(2,1/($T$20:$T455="H")),$V$20:$V455,"&lt;=$"&amp;V455)</f>
        <v>0</v>
      </c>
    </row>
    <row r="456" spans="24:24" x14ac:dyDescent="0.2">
      <c r="X456" s="12">
        <f>_xlfn.MAXIFS($U$20:$U456,$T$20:$T456,"H",$U$20:$U456,"&gt;="&amp;LOOKUP(2,1/($T$20:$T456="H")),$V$20:$V456,"&lt;=$"&amp;V456)</f>
        <v>0</v>
      </c>
    </row>
    <row r="457" spans="24:24" x14ac:dyDescent="0.2">
      <c r="X457" s="12">
        <f>_xlfn.MAXIFS($U$20:$U457,$T$20:$T457,"H",$U$20:$U457,"&gt;="&amp;LOOKUP(2,1/($T$20:$T457="H")),$V$20:$V457,"&lt;=$"&amp;V457)</f>
        <v>0</v>
      </c>
    </row>
    <row r="458" spans="24:24" x14ac:dyDescent="0.2">
      <c r="X458" s="12">
        <f>_xlfn.MAXIFS($U$20:$U458,$T$20:$T458,"H",$U$20:$U458,"&gt;="&amp;LOOKUP(2,1/($T$20:$T458="H")),$V$20:$V458,"&lt;=$"&amp;V458)</f>
        <v>0</v>
      </c>
    </row>
    <row r="459" spans="24:24" x14ac:dyDescent="0.2">
      <c r="X459" s="12">
        <f>_xlfn.MAXIFS($U$20:$U459,$T$20:$T459,"H",$U$20:$U459,"&gt;="&amp;LOOKUP(2,1/($T$20:$T459="H")),$V$20:$V459,"&lt;=$"&amp;V459)</f>
        <v>0</v>
      </c>
    </row>
    <row r="460" spans="24:24" x14ac:dyDescent="0.2">
      <c r="X460" s="12">
        <f>_xlfn.MAXIFS($U$20:$U460,$T$20:$T460,"H",$U$20:$U460,"&gt;="&amp;LOOKUP(2,1/($T$20:$T460="H")),$V$20:$V460,"&lt;=$"&amp;V460)</f>
        <v>0</v>
      </c>
    </row>
    <row r="461" spans="24:24" x14ac:dyDescent="0.2">
      <c r="X461" s="12">
        <f>_xlfn.MAXIFS($U$20:$U461,$T$20:$T461,"H",$U$20:$U461,"&gt;="&amp;LOOKUP(2,1/($T$20:$T461="H")),$V$20:$V461,"&lt;=$"&amp;V461)</f>
        <v>0</v>
      </c>
    </row>
    <row r="462" spans="24:24" x14ac:dyDescent="0.2">
      <c r="X462" s="12">
        <f>_xlfn.MAXIFS($U$20:$U462,$T$20:$T462,"H",$U$20:$U462,"&gt;="&amp;LOOKUP(2,1/($T$20:$T462="H")),$V$20:$V462,"&lt;=$"&amp;V462)</f>
        <v>0</v>
      </c>
    </row>
    <row r="463" spans="24:24" x14ac:dyDescent="0.2">
      <c r="X463" s="12">
        <f>_xlfn.MAXIFS($U$20:$U463,$T$20:$T463,"H",$U$20:$U463,"&gt;="&amp;LOOKUP(2,1/($T$20:$T463="H")),$V$20:$V463,"&lt;=$"&amp;V463)</f>
        <v>0</v>
      </c>
    </row>
    <row r="464" spans="24:24" x14ac:dyDescent="0.2">
      <c r="X464" s="12">
        <f>_xlfn.MAXIFS($U$20:$U464,$T$20:$T464,"H",$U$20:$U464,"&gt;="&amp;LOOKUP(2,1/($T$20:$T464="H")),$V$20:$V464,"&lt;=$"&amp;V464)</f>
        <v>0</v>
      </c>
    </row>
    <row r="465" spans="24:24" x14ac:dyDescent="0.2">
      <c r="X465" s="12">
        <f>_xlfn.MAXIFS($U$20:$U465,$T$20:$T465,"H",$U$20:$U465,"&gt;="&amp;LOOKUP(2,1/($T$20:$T465="H")),$V$20:$V465,"&lt;=$"&amp;V465)</f>
        <v>0</v>
      </c>
    </row>
    <row r="466" spans="24:24" x14ac:dyDescent="0.2">
      <c r="X466" s="12">
        <f>_xlfn.MAXIFS($U$20:$U466,$T$20:$T466,"H",$U$20:$U466,"&gt;="&amp;LOOKUP(2,1/($T$20:$T466="H")),$V$20:$V466,"&lt;=$"&amp;V466)</f>
        <v>0</v>
      </c>
    </row>
    <row r="467" spans="24:24" x14ac:dyDescent="0.2">
      <c r="X467" s="12">
        <f>_xlfn.MAXIFS($U$20:$U467,$T$20:$T467,"H",$U$20:$U467,"&gt;="&amp;LOOKUP(2,1/($T$20:$T467="H")),$V$20:$V467,"&lt;=$"&amp;V467)</f>
        <v>0</v>
      </c>
    </row>
    <row r="468" spans="24:24" x14ac:dyDescent="0.2">
      <c r="X468" s="12">
        <f>_xlfn.MAXIFS($U$20:$U468,$T$20:$T468,"H",$U$20:$U468,"&gt;="&amp;LOOKUP(2,1/($T$20:$T468="H")),$V$20:$V468,"&lt;=$"&amp;V468)</f>
        <v>0</v>
      </c>
    </row>
    <row r="469" spans="24:24" x14ac:dyDescent="0.2">
      <c r="X469" s="12">
        <f>_xlfn.MAXIFS($U$20:$U469,$T$20:$T469,"H",$U$20:$U469,"&gt;="&amp;LOOKUP(2,1/($T$20:$T469="H")),$V$20:$V469,"&lt;=$"&amp;V469)</f>
        <v>0</v>
      </c>
    </row>
    <row r="470" spans="24:24" x14ac:dyDescent="0.2">
      <c r="X470" s="12">
        <f>_xlfn.MAXIFS($U$20:$U470,$T$20:$T470,"H",$U$20:$U470,"&gt;="&amp;LOOKUP(2,1/($T$20:$T470="H")),$V$20:$V470,"&lt;=$"&amp;V470)</f>
        <v>0</v>
      </c>
    </row>
    <row r="471" spans="24:24" x14ac:dyDescent="0.2">
      <c r="X471" s="12">
        <f>_xlfn.MAXIFS($U$20:$U471,$T$20:$T471,"H",$U$20:$U471,"&gt;="&amp;LOOKUP(2,1/($T$20:$T471="H")),$V$20:$V471,"&lt;=$"&amp;V471)</f>
        <v>0</v>
      </c>
    </row>
    <row r="472" spans="24:24" x14ac:dyDescent="0.2">
      <c r="X472" s="12">
        <f>_xlfn.MAXIFS($U$20:$U472,$T$20:$T472,"H",$U$20:$U472,"&gt;="&amp;LOOKUP(2,1/($T$20:$T472="H")),$V$20:$V472,"&lt;=$"&amp;V472)</f>
        <v>0</v>
      </c>
    </row>
    <row r="473" spans="24:24" x14ac:dyDescent="0.2">
      <c r="X473" s="12">
        <f>_xlfn.MAXIFS($U$20:$U473,$T$20:$T473,"H",$U$20:$U473,"&gt;="&amp;LOOKUP(2,1/($T$20:$T473="H")),$V$20:$V473,"&lt;=$"&amp;V473)</f>
        <v>0</v>
      </c>
    </row>
    <row r="474" spans="24:24" x14ac:dyDescent="0.2">
      <c r="X474" s="12">
        <f>_xlfn.MAXIFS($U$20:$U474,$T$20:$T474,"H",$U$20:$U474,"&gt;="&amp;LOOKUP(2,1/($T$20:$T474="H")),$V$20:$V474,"&lt;=$"&amp;V474)</f>
        <v>0</v>
      </c>
    </row>
    <row r="475" spans="24:24" x14ac:dyDescent="0.2">
      <c r="X475" s="12">
        <f>_xlfn.MAXIFS($U$20:$U475,$T$20:$T475,"H",$U$20:$U475,"&gt;="&amp;LOOKUP(2,1/($T$20:$T475="H")),$V$20:$V475,"&lt;=$"&amp;V475)</f>
        <v>0</v>
      </c>
    </row>
    <row r="476" spans="24:24" x14ac:dyDescent="0.2">
      <c r="X476" s="12">
        <f>_xlfn.MAXIFS($U$20:$U476,$T$20:$T476,"H",$U$20:$U476,"&gt;="&amp;LOOKUP(2,1/($T$20:$T476="H")),$V$20:$V476,"&lt;=$"&amp;V476)</f>
        <v>0</v>
      </c>
    </row>
    <row r="477" spans="24:24" x14ac:dyDescent="0.2">
      <c r="X477" s="12">
        <f>_xlfn.MAXIFS($U$20:$U477,$T$20:$T477,"H",$U$20:$U477,"&gt;="&amp;LOOKUP(2,1/($T$20:$T477="H")),$V$20:$V477,"&lt;=$"&amp;V477)</f>
        <v>0</v>
      </c>
    </row>
    <row r="478" spans="24:24" x14ac:dyDescent="0.2">
      <c r="X478" s="12">
        <f>_xlfn.MAXIFS($U$20:$U478,$T$20:$T478,"H",$U$20:$U478,"&gt;="&amp;LOOKUP(2,1/($T$20:$T478="H")),$V$20:$V478,"&lt;=$"&amp;V478)</f>
        <v>0</v>
      </c>
    </row>
    <row r="479" spans="24:24" x14ac:dyDescent="0.2">
      <c r="X479" s="12">
        <f>_xlfn.MAXIFS($U$20:$U479,$T$20:$T479,"H",$U$20:$U479,"&gt;="&amp;LOOKUP(2,1/($T$20:$T479="H")),$V$20:$V479,"&lt;=$"&amp;V479)</f>
        <v>0</v>
      </c>
    </row>
    <row r="480" spans="24:24" x14ac:dyDescent="0.2">
      <c r="X480" s="12">
        <f>_xlfn.MAXIFS($U$20:$U480,$T$20:$T480,"H",$U$20:$U480,"&gt;="&amp;LOOKUP(2,1/($T$20:$T480="H")),$V$20:$V480,"&lt;=$"&amp;V480)</f>
        <v>0</v>
      </c>
    </row>
    <row r="481" spans="24:24" x14ac:dyDescent="0.2">
      <c r="X481" s="12">
        <f>_xlfn.MAXIFS($U$20:$U481,$T$20:$T481,"H",$U$20:$U481,"&gt;="&amp;LOOKUP(2,1/($T$20:$T481="H")),$V$20:$V481,"&lt;=$"&amp;V481)</f>
        <v>0</v>
      </c>
    </row>
    <row r="482" spans="24:24" x14ac:dyDescent="0.2">
      <c r="X482" s="12">
        <f>_xlfn.MAXIFS($U$20:$U482,$T$20:$T482,"H",$U$20:$U482,"&gt;="&amp;LOOKUP(2,1/($T$20:$T482="H")),$V$20:$V482,"&lt;=$"&amp;V482)</f>
        <v>0</v>
      </c>
    </row>
    <row r="483" spans="24:24" x14ac:dyDescent="0.2">
      <c r="X483" s="12">
        <f>_xlfn.MAXIFS($U$20:$U483,$T$20:$T483,"H",$U$20:$U483,"&gt;="&amp;LOOKUP(2,1/($T$20:$T483="H")),$V$20:$V483,"&lt;=$"&amp;V483)</f>
        <v>0</v>
      </c>
    </row>
    <row r="484" spans="24:24" x14ac:dyDescent="0.2">
      <c r="X484" s="12">
        <f>_xlfn.MAXIFS($U$20:$U484,$T$20:$T484,"H",$U$20:$U484,"&gt;="&amp;LOOKUP(2,1/($T$20:$T484="H")),$V$20:$V484,"&lt;=$"&amp;V484)</f>
        <v>0</v>
      </c>
    </row>
    <row r="485" spans="24:24" x14ac:dyDescent="0.2">
      <c r="X485" s="12">
        <f>_xlfn.MAXIFS($U$20:$U485,$T$20:$T485,"H",$U$20:$U485,"&gt;="&amp;LOOKUP(2,1/($T$20:$T485="H")),$V$20:$V485,"&lt;=$"&amp;V485)</f>
        <v>0</v>
      </c>
    </row>
    <row r="486" spans="24:24" x14ac:dyDescent="0.2">
      <c r="X486" s="12">
        <f>_xlfn.MAXIFS($U$20:$U486,$T$20:$T486,"H",$U$20:$U486,"&gt;="&amp;LOOKUP(2,1/($T$20:$T486="H")),$V$20:$V486,"&lt;=$"&amp;V486)</f>
        <v>0</v>
      </c>
    </row>
    <row r="487" spans="24:24" x14ac:dyDescent="0.2">
      <c r="X487" s="12">
        <f>_xlfn.MAXIFS($U$20:$U487,$T$20:$T487,"H",$U$20:$U487,"&gt;="&amp;LOOKUP(2,1/($T$20:$T487="H")),$V$20:$V487,"&lt;=$"&amp;V487)</f>
        <v>0</v>
      </c>
    </row>
    <row r="488" spans="24:24" x14ac:dyDescent="0.2">
      <c r="X488" s="12">
        <f>_xlfn.MAXIFS($U$20:$U488,$T$20:$T488,"H",$U$20:$U488,"&gt;="&amp;LOOKUP(2,1/($T$20:$T488="H")),$V$20:$V488,"&lt;=$"&amp;V488)</f>
        <v>0</v>
      </c>
    </row>
    <row r="489" spans="24:24" x14ac:dyDescent="0.2">
      <c r="X489" s="12">
        <f>_xlfn.MAXIFS($U$20:$U489,$T$20:$T489,"H",$U$20:$U489,"&gt;="&amp;LOOKUP(2,1/($T$20:$T489="H")),$V$20:$V489,"&lt;=$"&amp;V489)</f>
        <v>0</v>
      </c>
    </row>
    <row r="490" spans="24:24" x14ac:dyDescent="0.2">
      <c r="X490" s="12">
        <f>_xlfn.MAXIFS($U$20:$U490,$T$20:$T490,"H",$U$20:$U490,"&gt;="&amp;LOOKUP(2,1/($T$20:$T490="H")),$V$20:$V490,"&lt;=$"&amp;V490)</f>
        <v>0</v>
      </c>
    </row>
    <row r="491" spans="24:24" x14ac:dyDescent="0.2">
      <c r="X491" s="12">
        <f>_xlfn.MAXIFS($U$20:$U491,$T$20:$T491,"H",$U$20:$U491,"&gt;="&amp;LOOKUP(2,1/($T$20:$T491="H")),$V$20:$V491,"&lt;=$"&amp;V491)</f>
        <v>0</v>
      </c>
    </row>
    <row r="492" spans="24:24" x14ac:dyDescent="0.2">
      <c r="X492" s="12">
        <f>_xlfn.MAXIFS($U$20:$U492,$T$20:$T492,"H",$U$20:$U492,"&gt;="&amp;LOOKUP(2,1/($T$20:$T492="H")),$V$20:$V492,"&lt;=$"&amp;V492)</f>
        <v>0</v>
      </c>
    </row>
    <row r="493" spans="24:24" x14ac:dyDescent="0.2">
      <c r="X493" s="12">
        <f>_xlfn.MAXIFS($U$20:$U493,$T$20:$T493,"H",$U$20:$U493,"&gt;="&amp;LOOKUP(2,1/($T$20:$T493="H")),$V$20:$V493,"&lt;=$"&amp;V493)</f>
        <v>0</v>
      </c>
    </row>
    <row r="494" spans="24:24" x14ac:dyDescent="0.2">
      <c r="X494" s="12">
        <f>_xlfn.MAXIFS($U$20:$U494,$T$20:$T494,"H",$U$20:$U494,"&gt;="&amp;LOOKUP(2,1/($T$20:$T494="H")),$V$20:$V494,"&lt;=$"&amp;V494)</f>
        <v>0</v>
      </c>
    </row>
    <row r="495" spans="24:24" x14ac:dyDescent="0.2">
      <c r="X495" s="12">
        <f>_xlfn.MAXIFS($U$20:$U495,$T$20:$T495,"H",$U$20:$U495,"&gt;="&amp;LOOKUP(2,1/($T$20:$T495="H")),$V$20:$V495,"&lt;=$"&amp;V495)</f>
        <v>0</v>
      </c>
    </row>
    <row r="496" spans="24:24" x14ac:dyDescent="0.2">
      <c r="X496" s="12">
        <f>_xlfn.MAXIFS($U$20:$U496,$T$20:$T496,"H",$U$20:$U496,"&gt;="&amp;LOOKUP(2,1/($T$20:$T496="H")),$V$20:$V496,"&lt;=$"&amp;V496)</f>
        <v>0</v>
      </c>
    </row>
    <row r="497" spans="24:24" x14ac:dyDescent="0.2">
      <c r="X497" s="12">
        <f>_xlfn.MAXIFS($U$20:$U497,$T$20:$T497,"H",$U$20:$U497,"&gt;="&amp;LOOKUP(2,1/($T$20:$T497="H")),$V$20:$V497,"&lt;=$"&amp;V497)</f>
        <v>0</v>
      </c>
    </row>
    <row r="498" spans="24:24" x14ac:dyDescent="0.2">
      <c r="X498" s="12">
        <f>_xlfn.MAXIFS($U$20:$U498,$T$20:$T498,"H",$U$20:$U498,"&gt;="&amp;LOOKUP(2,1/($T$20:$T498="H")),$V$20:$V498,"&lt;=$"&amp;V498)</f>
        <v>0</v>
      </c>
    </row>
    <row r="499" spans="24:24" x14ac:dyDescent="0.2">
      <c r="X499" s="12">
        <f>_xlfn.MAXIFS($U$20:$U499,$T$20:$T499,"H",$U$20:$U499,"&gt;="&amp;LOOKUP(2,1/($T$20:$T499="H")),$V$20:$V499,"&lt;=$"&amp;V499)</f>
        <v>0</v>
      </c>
    </row>
    <row r="500" spans="24:24" x14ac:dyDescent="0.2">
      <c r="X500" s="12">
        <f>_xlfn.MAXIFS($U$20:$U500,$T$20:$T500,"H",$U$20:$U500,"&gt;="&amp;LOOKUP(2,1/($T$20:$T500="H")),$V$20:$V500,"&lt;=$"&amp;V500)</f>
        <v>0</v>
      </c>
    </row>
    <row r="501" spans="24:24" x14ac:dyDescent="0.2">
      <c r="X501" s="32">
        <f>_xlfn.MAXIFS($U$35:$U501,$T$35:$T501,"H",$U$35:$U501,"&gt;="&amp;LOOKUP(2,1/($T$35:$T501="H")),$V$35:$V501,"&lt;=$"&amp;V501)</f>
        <v>0</v>
      </c>
    </row>
    <row r="502" spans="24:24" x14ac:dyDescent="0.2">
      <c r="X502" s="32">
        <f>_xlfn.MAXIFS($U$35:$U502,$T$35:$T502,"H",$U$35:$U502,"&gt;="&amp;LOOKUP(2,1/($T$35:$T502="H")),$V$35:$V502,"&lt;=$"&amp;V502)</f>
        <v>0</v>
      </c>
    </row>
    <row r="503" spans="24:24" x14ac:dyDescent="0.2">
      <c r="X503" s="32">
        <f>_xlfn.MAXIFS($U$35:$U503,$T$35:$T503,"H",$U$35:$U503,"&gt;="&amp;LOOKUP(2,1/($T$35:$T503="H")),$V$35:$V503,"&lt;=$"&amp;V503)</f>
        <v>0</v>
      </c>
    </row>
    <row r="504" spans="24:24" x14ac:dyDescent="0.2">
      <c r="X504" s="32">
        <f>_xlfn.MAXIFS($U$35:$U504,$T$35:$T504,"H",$U$35:$U504,"&gt;="&amp;LOOKUP(2,1/($T$35:$T504="H")),$V$35:$V504,"&lt;=$"&amp;V504)</f>
        <v>0</v>
      </c>
    </row>
    <row r="505" spans="24:24" x14ac:dyDescent="0.2">
      <c r="X505" s="32">
        <f>_xlfn.MAXIFS($U$35:$U505,$T$35:$T505,"H",$U$35:$U505,"&gt;="&amp;LOOKUP(2,1/($T$35:$T505="H")),$V$35:$V505,"&lt;=$"&amp;V505)</f>
        <v>0</v>
      </c>
    </row>
    <row r="506" spans="24:24" x14ac:dyDescent="0.2">
      <c r="X506" s="32">
        <f>_xlfn.MAXIFS($U$35:$U506,$T$35:$T506,"H",$U$35:$U506,"&gt;="&amp;LOOKUP(2,1/($T$35:$T506="H")),$V$35:$V506,"&lt;=$"&amp;V506)</f>
        <v>0</v>
      </c>
    </row>
    <row r="507" spans="24:24" x14ac:dyDescent="0.2">
      <c r="X507" s="32">
        <f>_xlfn.MAXIFS($U$35:$U507,$T$35:$T507,"H",$U$35:$U507,"&gt;="&amp;LOOKUP(2,1/($T$35:$T507="H")),$V$35:$V507,"&lt;=$"&amp;V507)</f>
        <v>0</v>
      </c>
    </row>
    <row r="508" spans="24:24" x14ac:dyDescent="0.2">
      <c r="X508" s="32">
        <f>_xlfn.MAXIFS($U$35:$U508,$T$35:$T508,"H",$U$35:$U508,"&gt;="&amp;LOOKUP(2,1/($T$35:$T508="H")),$V$35:$V508,"&lt;=$"&amp;V508)</f>
        <v>0</v>
      </c>
    </row>
    <row r="509" spans="24:24" x14ac:dyDescent="0.2">
      <c r="X509" s="32">
        <f>_xlfn.MAXIFS($U$35:$U509,$T$35:$T509,"H",$U$35:$U509,"&gt;="&amp;LOOKUP(2,1/($T$35:$T509="H")),$V$35:$V509,"&lt;=$"&amp;V509)</f>
        <v>0</v>
      </c>
    </row>
    <row r="510" spans="24:24" x14ac:dyDescent="0.2">
      <c r="X510" s="32">
        <f>_xlfn.MAXIFS($U$35:$U510,$T$35:$T510,"H",$U$35:$U510,"&gt;="&amp;LOOKUP(2,1/($T$35:$T510="H")),$V$35:$V510,"&lt;=$"&amp;V510)</f>
        <v>0</v>
      </c>
    </row>
    <row r="511" spans="24:24" x14ac:dyDescent="0.2">
      <c r="X511" s="32">
        <f>_xlfn.MAXIFS($U$35:$U511,$T$35:$T511,"H",$U$35:$U511,"&gt;="&amp;LOOKUP(2,1/($T$35:$T511="H")),$V$35:$V511,"&lt;=$"&amp;V511)</f>
        <v>0</v>
      </c>
    </row>
    <row r="512" spans="24:24" x14ac:dyDescent="0.2">
      <c r="X512" s="32">
        <f>_xlfn.MAXIFS($U$35:$U512,$T$35:$T512,"H",$U$35:$U512,"&gt;="&amp;LOOKUP(2,1/($T$35:$T512="H")),$V$35:$V512,"&lt;=$"&amp;V512)</f>
        <v>0</v>
      </c>
    </row>
    <row r="513" spans="24:24" x14ac:dyDescent="0.2">
      <c r="X513" s="32">
        <f>_xlfn.MAXIFS($U$35:$U513,$T$35:$T513,"H",$U$35:$U513,"&gt;="&amp;LOOKUP(2,1/($T$35:$T513="H")),$V$35:$V513,"&lt;=$"&amp;V513)</f>
        <v>0</v>
      </c>
    </row>
    <row r="514" spans="24:24" x14ac:dyDescent="0.2">
      <c r="X514" s="32">
        <f>_xlfn.MAXIFS($U$35:$U514,$T$35:$T514,"H",$U$35:$U514,"&gt;="&amp;LOOKUP(2,1/($T$35:$T514="H")),$V$35:$V514,"&lt;=$"&amp;V514)</f>
        <v>0</v>
      </c>
    </row>
    <row r="515" spans="24:24" x14ac:dyDescent="0.2">
      <c r="X515" s="32">
        <f>_xlfn.MAXIFS($U$35:$U515,$T$35:$T515,"H",$U$35:$U515,"&gt;="&amp;LOOKUP(2,1/($T$35:$T515="H")),$V$35:$V515,"&lt;=$"&amp;V515)</f>
        <v>0</v>
      </c>
    </row>
  </sheetData>
  <mergeCells count="1">
    <mergeCell ref="D1:K1"/>
  </mergeCells>
  <conditionalFormatting sqref="B20 R20">
    <cfRule type="expression" dxfId="11" priority="15">
      <formula>$T20="T"</formula>
    </cfRule>
  </conditionalFormatting>
  <conditionalFormatting sqref="O20">
    <cfRule type="expression" dxfId="10" priority="5">
      <formula>$T20="T"</formula>
    </cfRule>
  </conditionalFormatting>
  <conditionalFormatting sqref="P20">
    <cfRule type="expression" dxfId="9" priority="4">
      <formula>$T20="T"</formula>
    </cfRule>
  </conditionalFormatting>
  <conditionalFormatting sqref="C20:N20">
    <cfRule type="expression" dxfId="8" priority="7">
      <formula>$T20="T"</formula>
    </cfRule>
  </conditionalFormatting>
  <conditionalFormatting sqref="C20:D20">
    <cfRule type="expression" dxfId="7" priority="6">
      <formula>$T22="T"</formula>
    </cfRule>
  </conditionalFormatting>
  <conditionalFormatting sqref="D20">
    <cfRule type="expression" dxfId="6" priority="8">
      <formula>$T24="T"</formula>
    </cfRule>
  </conditionalFormatting>
  <conditionalFormatting sqref="E20:M20">
    <cfRule type="expression" dxfId="5" priority="9">
      <formula>$T21="T"</formula>
    </cfRule>
  </conditionalFormatting>
  <conditionalFormatting sqref="E20:M20">
    <cfRule type="expression" dxfId="4" priority="10">
      <formula>$T23="T"</formula>
    </cfRule>
  </conditionalFormatting>
  <conditionalFormatting sqref="E20:M20">
    <cfRule type="expression" dxfId="3" priority="11">
      <formula>$T25="T"</formula>
    </cfRule>
  </conditionalFormatting>
  <conditionalFormatting sqref="C20:P20">
    <cfRule type="expression" dxfId="2" priority="3">
      <formula>$T20="T"</formula>
    </cfRule>
  </conditionalFormatting>
  <conditionalFormatting sqref="Q20">
    <cfRule type="expression" dxfId="1" priority="2">
      <formula>$T20="T"</formula>
    </cfRule>
  </conditionalFormatting>
  <conditionalFormatting sqref="Q20">
    <cfRule type="expression" dxfId="0" priority="1">
      <formula>$T20="T"</formula>
    </cfRule>
  </conditionalFormatting>
  <pageMargins left="0.25" right="0.25" top="0.5" bottom="0.5" header="0.3" footer="0.3"/>
  <pageSetup scale="45" fitToHeight="0" orientation="landscape" r:id="rId1"/>
  <headerFooter>
    <oddFooter>&amp;C&amp;D&amp;RPage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170E-C01E-4D83-8ECD-5B16EE7E3D6D}">
  <sheetPr codeName="Sheet3">
    <tabColor rgb="FFF26A0E"/>
  </sheetPr>
  <dimension ref="A1:N1"/>
  <sheetViews>
    <sheetView workbookViewId="0">
      <selection activeCell="S4" sqref="S4"/>
    </sheetView>
  </sheetViews>
  <sheetFormatPr baseColWidth="10" defaultColWidth="8.83203125" defaultRowHeight="15" x14ac:dyDescent="0.2"/>
  <sheetData>
    <row r="1" spans="1:14" x14ac:dyDescent="0.2">
      <c r="A1" s="50" t="s">
        <v>148</v>
      </c>
      <c r="B1" s="50" t="s">
        <v>149</v>
      </c>
      <c r="C1" s="50" t="s">
        <v>271</v>
      </c>
      <c r="D1" s="50" t="s">
        <v>272</v>
      </c>
      <c r="E1" s="50" t="s">
        <v>273</v>
      </c>
      <c r="F1" s="50" t="s">
        <v>274</v>
      </c>
      <c r="G1" s="50" t="s">
        <v>275</v>
      </c>
      <c r="H1" s="50" t="s">
        <v>276</v>
      </c>
      <c r="I1" s="50" t="s">
        <v>277</v>
      </c>
      <c r="J1" s="50" t="s">
        <v>278</v>
      </c>
      <c r="K1" s="50" t="s">
        <v>279</v>
      </c>
      <c r="L1" s="50" t="s">
        <v>280</v>
      </c>
      <c r="M1" s="50" t="s">
        <v>281</v>
      </c>
      <c r="N1" s="50" t="s">
        <v>282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827243-FC1E-47D8-A617-DE85212874B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Budget</vt:lpstr>
      <vt:lpstr>Forecast</vt:lpstr>
      <vt:lpstr>Current Year Budget</vt:lpstr>
      <vt:lpstr>Import</vt:lpstr>
      <vt:lpstr>Budget!Print_Area</vt:lpstr>
    </vt:vector>
  </TitlesOfParts>
  <Company>Hott Solutions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 Budget Report</dc:title>
  <dc:creator>jshakely@hottsolutions.com</dc:creator>
  <cp:keywords>Finance, Budget, Dynamic</cp:keywords>
  <cp:lastModifiedBy>Joe Shakely</cp:lastModifiedBy>
  <dcterms:created xsi:type="dcterms:W3CDTF">2019-09-24T22:34:50Z</dcterms:created>
  <dcterms:modified xsi:type="dcterms:W3CDTF">2023-02-10T06:22:21Z</dcterms:modified>
</cp:coreProperties>
</file>